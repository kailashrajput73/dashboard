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Z:\General\2026-27\6.0 Shivani Buildmate_2026_27\10.0_Buildmate 24x7\"/>
    </mc:Choice>
  </mc:AlternateContent>
  <xr:revisionPtr revIDLastSave="0" documentId="8_{50146DD8-1F90-467C-BE8F-1C2253E1E26C}" xr6:coauthVersionLast="47" xr6:coauthVersionMax="47" xr10:uidLastSave="{00000000-0000-0000-0000-000000000000}"/>
  <bookViews>
    <workbookView xWindow="-108" yWindow="-108" windowWidth="23256" windowHeight="13896" xr2:uid="{5924F309-94A7-4203-BA46-CFD59714A5F1}"/>
  </bookViews>
  <sheets>
    <sheet name="UPVC" sheetId="1" r:id="rId1"/>
  </sheets>
  <definedNames>
    <definedName name="_xlnm._FilterDatabase" localSheetId="0" hidden="1">UPVC!$A$3:$R$47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7" i="1" l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</calcChain>
</file>

<file path=xl/sharedStrings.xml><?xml version="1.0" encoding="utf-8"?>
<sst xmlns="http://schemas.openxmlformats.org/spreadsheetml/2006/main" count="412" uniqueCount="125">
  <si>
    <t>Category</t>
  </si>
  <si>
    <t>Sub-Category</t>
  </si>
  <si>
    <t>Type</t>
  </si>
  <si>
    <t>Brand</t>
  </si>
  <si>
    <t>Product Name</t>
  </si>
  <si>
    <t>Size (cm)</t>
  </si>
  <si>
    <t>Length</t>
  </si>
  <si>
    <t>Product Code</t>
  </si>
  <si>
    <t>HSN Code</t>
  </si>
  <si>
    <t>GST</t>
  </si>
  <si>
    <t>UoM</t>
  </si>
  <si>
    <t>MRP (Rs) per nos</t>
  </si>
  <si>
    <t>discount</t>
  </si>
  <si>
    <t>Selling Price</t>
  </si>
  <si>
    <t>Pack Size</t>
  </si>
  <si>
    <t>MRP Pkg</t>
  </si>
  <si>
    <t>PIPES</t>
  </si>
  <si>
    <t>UPVC</t>
  </si>
  <si>
    <t>Sch 40</t>
  </si>
  <si>
    <t>Astral</t>
  </si>
  <si>
    <t>UPVC Pipe, Sch 40,15 MM (½"), 6 Mtr Pipe Astral</t>
  </si>
  <si>
    <t>15 MM (½")</t>
  </si>
  <si>
    <t>6 Mtr</t>
  </si>
  <si>
    <t>U4015AS</t>
  </si>
  <si>
    <t>Nos</t>
  </si>
  <si>
    <t>UPVC Pipe, Sch 40,20 MM (¾"), 6 Mtr Pipe Astral</t>
  </si>
  <si>
    <t>20 MM (¾")</t>
  </si>
  <si>
    <t>U4020AS</t>
  </si>
  <si>
    <t>UPVC Pipe, Sch 40,25 MM (1"), 6 Mtr Pipe Astral</t>
  </si>
  <si>
    <t>25 MM (1")</t>
  </si>
  <si>
    <t>U4025AS</t>
  </si>
  <si>
    <t>UPVC Pipe, Sch 40,32 MM (1¼"), 6 Mtr Pipe Astral</t>
  </si>
  <si>
    <t>32 MM (1¼")</t>
  </si>
  <si>
    <t>U4032AS</t>
  </si>
  <si>
    <t>UPVC Pipe, Sch 40,40 MM (1½"), 6 Mtr Pipe Astral</t>
  </si>
  <si>
    <t>40 MM (1½")</t>
  </si>
  <si>
    <t>U4040AS</t>
  </si>
  <si>
    <t>UPVC Pipe, Sch 40,50 MM (2"), 6 Mtr Pipe Astral</t>
  </si>
  <si>
    <t>50 MM (2")</t>
  </si>
  <si>
    <t>U4050AS</t>
  </si>
  <si>
    <t>UPVC Pipe, Sch 40,65 MM (2½"), 6 Mtr Pipe Astral</t>
  </si>
  <si>
    <t>65 MM (2½")</t>
  </si>
  <si>
    <t>U4065AS</t>
  </si>
  <si>
    <t>UPVC Pipe, Sch 40,80 MM (3"), 6 Mtr Pipe Astral</t>
  </si>
  <si>
    <t>80 MM (3")</t>
  </si>
  <si>
    <t>U4080AS</t>
  </si>
  <si>
    <t>UPVC Pipe, Sch 40,100 MM (4"), 6 Mtr Pipe Astral</t>
  </si>
  <si>
    <t>100 MM (4")</t>
  </si>
  <si>
    <t>U40100AS</t>
  </si>
  <si>
    <t>UPVC Pipe, Sch 40,150 MM (6"), 6 Mtr Pipe Astral</t>
  </si>
  <si>
    <t>150 MM (6")</t>
  </si>
  <si>
    <t>U40150AS</t>
  </si>
  <si>
    <t>UPVC Pipe, Sch 40,200 MM (8"), 6 Mtr Pipe Astral</t>
  </si>
  <si>
    <t>200 MM (8")</t>
  </si>
  <si>
    <t>U40200AS</t>
  </si>
  <si>
    <t>UPVC Pipe, Sch 40,250 MM (10"), 6 Mtr Pipe Astral</t>
  </si>
  <si>
    <t>250 MM (10")</t>
  </si>
  <si>
    <t>U40250AS</t>
  </si>
  <si>
    <t>UPVC Pipe, Sch 40,300 MM (12"), 6 Mtr Pipe Astral</t>
  </si>
  <si>
    <t>300 MM (12")</t>
  </si>
  <si>
    <t>U40300AS</t>
  </si>
  <si>
    <t>Sch 80</t>
  </si>
  <si>
    <t>UPVC Pipe, Sch 80,15 MM (½"), 6 Mtr Pipe Astral</t>
  </si>
  <si>
    <t>U8015AS</t>
  </si>
  <si>
    <t>UPVC Pipe, Sch 80,20 MM (¾"), 6 Mtr Pipe Astral</t>
  </si>
  <si>
    <t>U8020AS</t>
  </si>
  <si>
    <t>UPVC Pipe, Sch 80,25 MM (1"), 6 Mtr Pipe Astral</t>
  </si>
  <si>
    <t>U8025AS</t>
  </si>
  <si>
    <t>UPVC Pipe, Sch 80,32 MM (1¼"), 6 Mtr Pipe Astral</t>
  </si>
  <si>
    <t>U8032AS</t>
  </si>
  <si>
    <t>UPVC Pipe, Sch 80,40 MM (1½"), 6 Mtr Pipe Astral</t>
  </si>
  <si>
    <t>U8040AS</t>
  </si>
  <si>
    <t>UPVC Pipe, Sch 80,50 MM (2"), 6 Mtr Pipe Astral</t>
  </si>
  <si>
    <t>U8050AS</t>
  </si>
  <si>
    <t>UPVC Pipe, Sch 80,65 MM (2½"), 6 Mtr Pipe Astral</t>
  </si>
  <si>
    <t>U8065AS</t>
  </si>
  <si>
    <t>UPVC Pipe, Sch 80,80 MM (3"), 6 Mtr Pipe Astral</t>
  </si>
  <si>
    <t>U8080AS</t>
  </si>
  <si>
    <t>UPVC Pipe, Sch 80,100 MM (4"), 6 Mtr Pipe Astral</t>
  </si>
  <si>
    <t>U80100AS</t>
  </si>
  <si>
    <t>UPVC Pipe, Sch 80,150 MM (6"), 6 Mtr Pipe Astral</t>
  </si>
  <si>
    <t>U80150AS</t>
  </si>
  <si>
    <t>UPVC Pipe, Sch 80,200 MM (8"), 6 Mtr Pipe Astral</t>
  </si>
  <si>
    <t>U80200AS</t>
  </si>
  <si>
    <t>UPVC Pipe, Sch 80,250 MM (10"), 6 Mtr Pipe Astral</t>
  </si>
  <si>
    <t>U80250AS</t>
  </si>
  <si>
    <t>UPVC Pipe, Sch 80,300 MM (12"), 6 Mtr Pipe Astral</t>
  </si>
  <si>
    <t>U80300AS</t>
  </si>
  <si>
    <t>King</t>
  </si>
  <si>
    <t>UPVC Pipe, Sch 40,15 MM (½"), 6 Mtr Pipe King</t>
  </si>
  <si>
    <t>U4015KG</t>
  </si>
  <si>
    <t>UPVC Pipe, Sch 40,20 MM (¾"), 6 Mtr Pipe King</t>
  </si>
  <si>
    <t>U4020KG</t>
  </si>
  <si>
    <t>UPVC Pipe, Sch 40,25 MM (1"), 6 Mtr Pipe King</t>
  </si>
  <si>
    <t>U4025KG</t>
  </si>
  <si>
    <t>UPVC Pipe, Sch 40,32 MM (1¼"), 6 Mtr Pipe King</t>
  </si>
  <si>
    <t>U4032KG</t>
  </si>
  <si>
    <t>UPVC Pipe, Sch 40,40 MM (1½"), 6 Mtr Pipe King</t>
  </si>
  <si>
    <t>U4040KG</t>
  </si>
  <si>
    <t>UPVC Pipe, Sch 40,50 MM (2"), 6 Mtr Pipe King</t>
  </si>
  <si>
    <t>U4050KG</t>
  </si>
  <si>
    <t>UPVC Pipe, Sch 40,65 MM (2½"), 6 Mtr Pipe King</t>
  </si>
  <si>
    <t>U4065KG</t>
  </si>
  <si>
    <t>UPVC Pipe, Sch 40,80 MM (3"), 6 Mtr Pipe King</t>
  </si>
  <si>
    <t>U4080KG</t>
  </si>
  <si>
    <t>UPVC Pipe, Sch 40,100 MM (4"), 6 Mtr Pipe King</t>
  </si>
  <si>
    <t>U40100KG</t>
  </si>
  <si>
    <t>UPVC Pipe, Sch 80,15 MM (½"), 6 Mtr Pipe King</t>
  </si>
  <si>
    <t>U8015KG</t>
  </si>
  <si>
    <t>UPVC Pipe, Sch 80,20 MM (¾"), 6 Mtr Pipe King</t>
  </si>
  <si>
    <t>U8020KG</t>
  </si>
  <si>
    <t>UPVC Pipe, Sch 80,25 MM (1"), 6 Mtr Pipe King</t>
  </si>
  <si>
    <t>U8025KG</t>
  </si>
  <si>
    <t>UPVC Pipe, Sch 80,32 MM (1¼"), 6 Mtr Pipe King</t>
  </si>
  <si>
    <t>U8032KG</t>
  </si>
  <si>
    <t>UPVC Pipe, Sch 80,40 MM (1½"), 6 Mtr Pipe King</t>
  </si>
  <si>
    <t>U8040KG</t>
  </si>
  <si>
    <t>UPVC Pipe, Sch 80,50 MM (2"), 6 Mtr Pipe King</t>
  </si>
  <si>
    <t>U8050KG</t>
  </si>
  <si>
    <t>UPVC Pipe, Sch 80,65 MM (2½"), 6 Mtr Pipe King</t>
  </si>
  <si>
    <t>U8065KG</t>
  </si>
  <si>
    <t>UPVC Pipe, Sch 80,80 MM (3"), 6 Mtr Pipe King</t>
  </si>
  <si>
    <t>U8080KG</t>
  </si>
  <si>
    <t>UPVC Pipe, Sch 80,100 MM (4"), 6 Mtr Pipe King</t>
  </si>
  <si>
    <t>U80100KG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</si>
</sst>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rgb="FF000000"/>
      <name val="Arial"/>
      <scheme val="minor"/>
    </font>
    <font>
      <b/>
      <i/>
      <sz val="10"/>
      <name val="Arial"/>
      <family val="2"/>
      <scheme val="minor"/>
    </font>
    <font>
      <b/>
      <i/>
      <sz val="11"/>
      <name val="Calibri"/>
      <family val="2"/>
    </font>
    <font>
      <sz val="10"/>
      <color theme="1"/>
      <name val="Arial"/>
      <scheme val="minor"/>
    </font>
    <font>
      <sz val="11"/>
      <color theme="1"/>
      <name val="Calibri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2" borderId="7" xfId="0" applyFont="1" applyFill="1" applyBorder="1"/>
    <xf numFmtId="0" fontId="3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4" fillId="0" borderId="7" xfId="0" applyFont="1" applyBorder="1"/>
    <xf numFmtId="0" fontId="5" fillId="0" borderId="7" xfId="0" applyFont="1" applyBorder="1"/>
    <xf numFmtId="9" fontId="4" fillId="0" borderId="7" xfId="0" applyNumberFormat="1" applyFont="1" applyBorder="1"/>
    <xf numFmtId="9" fontId="6" fillId="0" borderId="7" xfId="1" applyFont="1" applyBorder="1"/>
    <xf numFmtId="0" fontId="6" fillId="0" borderId="7" xfId="0" applyFont="1" applyBorder="1"/>
    <xf numFmtId="0" fontId="0" fillId="0" borderId="7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389E8-55C6-4D3D-91F4-A75714B7A3CF}">
  <sheetPr>
    <outlinePr summaryBelow="0" summaryRight="0"/>
  </sheetPr>
  <dimension ref="A2:P47"/>
  <sheetViews>
    <sheetView tabSelected="1" zoomScale="70" zoomScaleNormal="70" workbookViewId="0">
      <pane ySplit="3" topLeftCell="A4" activePane="bottomLeft" state="frozen"/>
      <selection pane="bottomLeft" activeCell="Q27" sqref="Q27"/>
    </sheetView>
  </sheetViews>
  <sheetFormatPr defaultColWidth="12.6640625" defaultRowHeight="15.75" customHeight="1" x14ac:dyDescent="0.25"/>
  <cols>
    <col min="1" max="1" width="9.44140625" bestFit="1" customWidth="1"/>
    <col min="2" max="2" width="13.6640625" bestFit="1" customWidth="1"/>
    <col min="3" max="3" width="7.88671875" bestFit="1" customWidth="1"/>
    <col min="4" max="4" width="8.33203125" bestFit="1" customWidth="1"/>
    <col min="5" max="5" width="58.44140625" customWidth="1"/>
    <col min="6" max="6" width="19.88671875" customWidth="1"/>
    <col min="7" max="7" width="10.5546875" customWidth="1"/>
    <col min="8" max="8" width="12.6640625" style="1" customWidth="1"/>
    <col min="9" max="10" width="12.6640625" style="2" customWidth="1"/>
    <col min="11" max="11" width="5.77734375" style="3" bestFit="1" customWidth="1"/>
    <col min="12" max="12" width="17.33203125" bestFit="1" customWidth="1"/>
    <col min="13" max="13" width="12.33203125" style="2" customWidth="1"/>
    <col min="14" max="15" width="12.33203125" customWidth="1"/>
    <col min="17" max="17" width="54.6640625" bestFit="1" customWidth="1"/>
    <col min="18" max="18" width="43" customWidth="1"/>
    <col min="20" max="20" width="23.5546875" bestFit="1" customWidth="1"/>
    <col min="21" max="21" width="8.33203125" customWidth="1"/>
  </cols>
  <sheetData>
    <row r="2" spans="1:16" ht="15.75" customHeight="1" x14ac:dyDescent="0.25">
      <c r="H2" s="4"/>
      <c r="I2" s="5"/>
      <c r="J2" s="5"/>
      <c r="K2" s="6"/>
      <c r="M2" s="5"/>
    </row>
    <row r="3" spans="1:16" ht="15.75" customHeight="1" x14ac:dyDescent="0.3">
      <c r="A3" s="7" t="s">
        <v>0</v>
      </c>
      <c r="B3" s="7" t="s">
        <v>1</v>
      </c>
      <c r="C3" s="7" t="s">
        <v>2</v>
      </c>
      <c r="D3" s="8" t="s">
        <v>3</v>
      </c>
      <c r="E3" s="9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</row>
    <row r="4" spans="1:16" ht="15.75" customHeight="1" x14ac:dyDescent="0.3">
      <c r="A4" s="10" t="s">
        <v>16</v>
      </c>
      <c r="B4" s="10" t="s">
        <v>17</v>
      </c>
      <c r="C4" s="10" t="s">
        <v>18</v>
      </c>
      <c r="D4" s="11" t="s">
        <v>19</v>
      </c>
      <c r="E4" s="10" t="s">
        <v>20</v>
      </c>
      <c r="F4" s="10" t="s">
        <v>21</v>
      </c>
      <c r="G4" s="10" t="s">
        <v>22</v>
      </c>
      <c r="H4" s="10" t="s">
        <v>23</v>
      </c>
      <c r="I4" s="10">
        <v>391723</v>
      </c>
      <c r="J4" s="12">
        <v>0.18</v>
      </c>
      <c r="K4" s="10" t="s">
        <v>24</v>
      </c>
      <c r="L4" s="10">
        <v>486</v>
      </c>
      <c r="M4" s="13">
        <v>0.49</v>
      </c>
      <c r="N4" s="14"/>
      <c r="O4" s="14">
        <v>30</v>
      </c>
      <c r="P4" s="15">
        <f t="shared" ref="P4" si="0">O4*L4</f>
        <v>14580</v>
      </c>
    </row>
    <row r="5" spans="1:16" ht="15.75" customHeight="1" x14ac:dyDescent="0.3">
      <c r="A5" s="10" t="s">
        <v>16</v>
      </c>
      <c r="B5" s="10" t="s">
        <v>17</v>
      </c>
      <c r="C5" s="10" t="s">
        <v>18</v>
      </c>
      <c r="D5" s="11" t="s">
        <v>19</v>
      </c>
      <c r="E5" s="10" t="s">
        <v>25</v>
      </c>
      <c r="F5" s="10" t="s">
        <v>26</v>
      </c>
      <c r="G5" s="10" t="s">
        <v>22</v>
      </c>
      <c r="H5" s="10" t="s">
        <v>27</v>
      </c>
      <c r="I5" s="10">
        <v>391723</v>
      </c>
      <c r="J5" s="12">
        <v>0.18</v>
      </c>
      <c r="K5" s="10" t="s">
        <v>24</v>
      </c>
      <c r="L5" s="10">
        <v>618</v>
      </c>
      <c r="M5" s="13">
        <v>0.49</v>
      </c>
      <c r="N5" s="14"/>
      <c r="O5" s="14">
        <v>20</v>
      </c>
      <c r="P5" s="15">
        <f>O5*L5</f>
        <v>12360</v>
      </c>
    </row>
    <row r="6" spans="1:16" ht="15.75" customHeight="1" x14ac:dyDescent="0.3">
      <c r="A6" s="10" t="s">
        <v>16</v>
      </c>
      <c r="B6" s="10" t="s">
        <v>17</v>
      </c>
      <c r="C6" s="10" t="s">
        <v>18</v>
      </c>
      <c r="D6" s="11" t="s">
        <v>19</v>
      </c>
      <c r="E6" s="10" t="s">
        <v>28</v>
      </c>
      <c r="F6" s="10" t="s">
        <v>29</v>
      </c>
      <c r="G6" s="10" t="s">
        <v>22</v>
      </c>
      <c r="H6" s="10" t="s">
        <v>30</v>
      </c>
      <c r="I6" s="10">
        <v>391723</v>
      </c>
      <c r="J6" s="12">
        <v>0.18</v>
      </c>
      <c r="K6" s="10" t="s">
        <v>24</v>
      </c>
      <c r="L6" s="10">
        <v>924</v>
      </c>
      <c r="M6" s="13">
        <v>0.49</v>
      </c>
      <c r="N6" s="14"/>
      <c r="O6" s="14">
        <v>15</v>
      </c>
      <c r="P6" s="15">
        <f t="shared" ref="P6:P47" si="1">O6*L6</f>
        <v>13860</v>
      </c>
    </row>
    <row r="7" spans="1:16" ht="15.75" customHeight="1" x14ac:dyDescent="0.3">
      <c r="A7" s="10" t="s">
        <v>16</v>
      </c>
      <c r="B7" s="10" t="s">
        <v>17</v>
      </c>
      <c r="C7" s="10" t="s">
        <v>18</v>
      </c>
      <c r="D7" s="11" t="s">
        <v>19</v>
      </c>
      <c r="E7" s="10" t="s">
        <v>31</v>
      </c>
      <c r="F7" s="10" t="s">
        <v>32</v>
      </c>
      <c r="G7" s="10" t="s">
        <v>22</v>
      </c>
      <c r="H7" s="10" t="s">
        <v>33</v>
      </c>
      <c r="I7" s="10">
        <v>391723</v>
      </c>
      <c r="J7" s="12">
        <v>0.18</v>
      </c>
      <c r="K7" s="10" t="s">
        <v>24</v>
      </c>
      <c r="L7" s="10">
        <v>1302</v>
      </c>
      <c r="M7" s="13">
        <v>0.49</v>
      </c>
      <c r="N7" s="14"/>
      <c r="O7" s="14">
        <v>10</v>
      </c>
      <c r="P7" s="15">
        <f t="shared" si="1"/>
        <v>13020</v>
      </c>
    </row>
    <row r="8" spans="1:16" ht="15.75" customHeight="1" x14ac:dyDescent="0.3">
      <c r="A8" s="10" t="s">
        <v>16</v>
      </c>
      <c r="B8" s="10" t="s">
        <v>17</v>
      </c>
      <c r="C8" s="10" t="s">
        <v>18</v>
      </c>
      <c r="D8" s="11" t="s">
        <v>19</v>
      </c>
      <c r="E8" s="10" t="s">
        <v>34</v>
      </c>
      <c r="F8" s="10" t="s">
        <v>35</v>
      </c>
      <c r="G8" s="10" t="s">
        <v>22</v>
      </c>
      <c r="H8" s="10" t="s">
        <v>36</v>
      </c>
      <c r="I8" s="10">
        <v>391723</v>
      </c>
      <c r="J8" s="12">
        <v>0.18</v>
      </c>
      <c r="K8" s="10" t="s">
        <v>24</v>
      </c>
      <c r="L8" s="10">
        <v>1536</v>
      </c>
      <c r="M8" s="13">
        <v>0.49</v>
      </c>
      <c r="N8" s="14"/>
      <c r="O8" s="14">
        <v>10</v>
      </c>
      <c r="P8" s="15">
        <f t="shared" si="1"/>
        <v>15360</v>
      </c>
    </row>
    <row r="9" spans="1:16" ht="15.75" customHeight="1" x14ac:dyDescent="0.3">
      <c r="A9" s="10" t="s">
        <v>16</v>
      </c>
      <c r="B9" s="10" t="s">
        <v>17</v>
      </c>
      <c r="C9" s="10" t="s">
        <v>18</v>
      </c>
      <c r="D9" s="11" t="s">
        <v>19</v>
      </c>
      <c r="E9" s="10" t="s">
        <v>37</v>
      </c>
      <c r="F9" s="10" t="s">
        <v>38</v>
      </c>
      <c r="G9" s="10" t="s">
        <v>22</v>
      </c>
      <c r="H9" s="10" t="s">
        <v>39</v>
      </c>
      <c r="I9" s="10">
        <v>391723</v>
      </c>
      <c r="J9" s="12">
        <v>0.18</v>
      </c>
      <c r="K9" s="10" t="s">
        <v>24</v>
      </c>
      <c r="L9" s="10">
        <v>2052</v>
      </c>
      <c r="M9" s="13">
        <v>0.49</v>
      </c>
      <c r="N9" s="14"/>
      <c r="O9" s="14">
        <v>6</v>
      </c>
      <c r="P9" s="15">
        <f t="shared" si="1"/>
        <v>12312</v>
      </c>
    </row>
    <row r="10" spans="1:16" ht="15.75" customHeight="1" x14ac:dyDescent="0.3">
      <c r="A10" s="10" t="s">
        <v>16</v>
      </c>
      <c r="B10" s="10" t="s">
        <v>17</v>
      </c>
      <c r="C10" s="10" t="s">
        <v>18</v>
      </c>
      <c r="D10" s="11" t="s">
        <v>19</v>
      </c>
      <c r="E10" s="10" t="s">
        <v>40</v>
      </c>
      <c r="F10" s="10" t="s">
        <v>41</v>
      </c>
      <c r="G10" s="10" t="s">
        <v>22</v>
      </c>
      <c r="H10" s="10" t="s">
        <v>42</v>
      </c>
      <c r="I10" s="10">
        <v>391723</v>
      </c>
      <c r="J10" s="12">
        <v>0.18</v>
      </c>
      <c r="K10" s="10" t="s">
        <v>24</v>
      </c>
      <c r="L10" s="10">
        <v>3312</v>
      </c>
      <c r="M10" s="13">
        <v>0.49</v>
      </c>
      <c r="N10" s="14"/>
      <c r="O10" s="14">
        <v>5</v>
      </c>
      <c r="P10" s="15">
        <f t="shared" si="1"/>
        <v>16560</v>
      </c>
    </row>
    <row r="11" spans="1:16" ht="15.75" customHeight="1" x14ac:dyDescent="0.3">
      <c r="A11" s="10" t="s">
        <v>16</v>
      </c>
      <c r="B11" s="10" t="s">
        <v>17</v>
      </c>
      <c r="C11" s="10" t="s">
        <v>18</v>
      </c>
      <c r="D11" s="11" t="s">
        <v>19</v>
      </c>
      <c r="E11" s="10" t="s">
        <v>43</v>
      </c>
      <c r="F11" s="10" t="s">
        <v>44</v>
      </c>
      <c r="G11" s="10" t="s">
        <v>22</v>
      </c>
      <c r="H11" s="10" t="s">
        <v>45</v>
      </c>
      <c r="I11" s="10">
        <v>391723</v>
      </c>
      <c r="J11" s="12">
        <v>0.18</v>
      </c>
      <c r="K11" s="10" t="s">
        <v>24</v>
      </c>
      <c r="L11" s="10">
        <v>4476</v>
      </c>
      <c r="M11" s="13">
        <v>0.49</v>
      </c>
      <c r="N11" s="14"/>
      <c r="O11" s="14">
        <v>3</v>
      </c>
      <c r="P11" s="15">
        <f t="shared" si="1"/>
        <v>13428</v>
      </c>
    </row>
    <row r="12" spans="1:16" ht="15.75" customHeight="1" x14ac:dyDescent="0.3">
      <c r="A12" s="10" t="s">
        <v>16</v>
      </c>
      <c r="B12" s="10" t="s">
        <v>17</v>
      </c>
      <c r="C12" s="10" t="s">
        <v>18</v>
      </c>
      <c r="D12" s="11" t="s">
        <v>19</v>
      </c>
      <c r="E12" s="10" t="s">
        <v>46</v>
      </c>
      <c r="F12" s="10" t="s">
        <v>47</v>
      </c>
      <c r="G12" s="10" t="s">
        <v>22</v>
      </c>
      <c r="H12" s="10" t="s">
        <v>48</v>
      </c>
      <c r="I12" s="10">
        <v>391723</v>
      </c>
      <c r="J12" s="12">
        <v>0.18</v>
      </c>
      <c r="K12" s="10" t="s">
        <v>24</v>
      </c>
      <c r="L12" s="10">
        <v>6312</v>
      </c>
      <c r="M12" s="13">
        <v>0.49</v>
      </c>
      <c r="N12" s="14"/>
      <c r="O12" s="14">
        <v>2</v>
      </c>
      <c r="P12" s="15">
        <f t="shared" si="1"/>
        <v>12624</v>
      </c>
    </row>
    <row r="13" spans="1:16" ht="15.75" customHeight="1" x14ac:dyDescent="0.3">
      <c r="A13" s="10" t="s">
        <v>16</v>
      </c>
      <c r="B13" s="10" t="s">
        <v>17</v>
      </c>
      <c r="C13" s="10" t="s">
        <v>18</v>
      </c>
      <c r="D13" s="11" t="s">
        <v>19</v>
      </c>
      <c r="E13" s="10" t="s">
        <v>49</v>
      </c>
      <c r="F13" s="10" t="s">
        <v>50</v>
      </c>
      <c r="G13" s="10" t="s">
        <v>22</v>
      </c>
      <c r="H13" s="10" t="s">
        <v>51</v>
      </c>
      <c r="I13" s="10">
        <v>391723</v>
      </c>
      <c r="J13" s="12">
        <v>0.18</v>
      </c>
      <c r="K13" s="10" t="s">
        <v>24</v>
      </c>
      <c r="L13" s="10">
        <v>11502</v>
      </c>
      <c r="M13" s="13">
        <v>0.49</v>
      </c>
      <c r="N13" s="14"/>
      <c r="O13" s="14">
        <v>1</v>
      </c>
      <c r="P13" s="15">
        <f t="shared" si="1"/>
        <v>11502</v>
      </c>
    </row>
    <row r="14" spans="1:16" ht="15.75" customHeight="1" x14ac:dyDescent="0.3">
      <c r="A14" s="10" t="s">
        <v>16</v>
      </c>
      <c r="B14" s="10" t="s">
        <v>17</v>
      </c>
      <c r="C14" s="10" t="s">
        <v>18</v>
      </c>
      <c r="D14" s="11" t="s">
        <v>19</v>
      </c>
      <c r="E14" s="10" t="s">
        <v>52</v>
      </c>
      <c r="F14" s="10" t="s">
        <v>53</v>
      </c>
      <c r="G14" s="10" t="s">
        <v>22</v>
      </c>
      <c r="H14" s="10" t="s">
        <v>54</v>
      </c>
      <c r="I14" s="10">
        <v>391723</v>
      </c>
      <c r="J14" s="12">
        <v>0.18</v>
      </c>
      <c r="K14" s="10" t="s">
        <v>24</v>
      </c>
      <c r="L14" s="10">
        <v>18078</v>
      </c>
      <c r="M14" s="13">
        <v>0.49</v>
      </c>
      <c r="N14" s="14"/>
      <c r="O14" s="14">
        <v>1</v>
      </c>
      <c r="P14" s="15">
        <f t="shared" si="1"/>
        <v>18078</v>
      </c>
    </row>
    <row r="15" spans="1:16" ht="15.75" customHeight="1" x14ac:dyDescent="0.3">
      <c r="A15" s="10" t="s">
        <v>16</v>
      </c>
      <c r="B15" s="10" t="s">
        <v>17</v>
      </c>
      <c r="C15" s="10" t="s">
        <v>18</v>
      </c>
      <c r="D15" s="11" t="s">
        <v>19</v>
      </c>
      <c r="E15" s="10" t="s">
        <v>55</v>
      </c>
      <c r="F15" s="10" t="s">
        <v>56</v>
      </c>
      <c r="G15" s="10" t="s">
        <v>22</v>
      </c>
      <c r="H15" s="10" t="s">
        <v>57</v>
      </c>
      <c r="I15" s="10">
        <v>391723</v>
      </c>
      <c r="J15" s="12">
        <v>0.18</v>
      </c>
      <c r="K15" s="10" t="s">
        <v>24</v>
      </c>
      <c r="L15" s="10">
        <v>23832</v>
      </c>
      <c r="M15" s="13">
        <v>0.49</v>
      </c>
      <c r="N15" s="14"/>
      <c r="O15" s="14">
        <v>1</v>
      </c>
      <c r="P15" s="15">
        <f t="shared" si="1"/>
        <v>23832</v>
      </c>
    </row>
    <row r="16" spans="1:16" ht="15.75" customHeight="1" x14ac:dyDescent="0.3">
      <c r="A16" s="10" t="s">
        <v>16</v>
      </c>
      <c r="B16" s="10" t="s">
        <v>17</v>
      </c>
      <c r="C16" s="10" t="s">
        <v>18</v>
      </c>
      <c r="D16" s="11" t="s">
        <v>19</v>
      </c>
      <c r="E16" s="10" t="s">
        <v>58</v>
      </c>
      <c r="F16" s="10" t="s">
        <v>59</v>
      </c>
      <c r="G16" s="10" t="s">
        <v>22</v>
      </c>
      <c r="H16" s="10" t="s">
        <v>60</v>
      </c>
      <c r="I16" s="10">
        <v>391723</v>
      </c>
      <c r="J16" s="12">
        <v>0.18</v>
      </c>
      <c r="K16" s="10" t="s">
        <v>24</v>
      </c>
      <c r="L16" s="10">
        <v>32424</v>
      </c>
      <c r="M16" s="13">
        <v>0.49</v>
      </c>
      <c r="N16" s="14"/>
      <c r="O16" s="14">
        <v>1</v>
      </c>
      <c r="P16" s="15">
        <f t="shared" si="1"/>
        <v>32424</v>
      </c>
    </row>
    <row r="17" spans="1:16" ht="15.75" customHeight="1" x14ac:dyDescent="0.3">
      <c r="A17" s="10" t="s">
        <v>16</v>
      </c>
      <c r="B17" s="10" t="s">
        <v>17</v>
      </c>
      <c r="C17" s="10" t="s">
        <v>61</v>
      </c>
      <c r="D17" s="11" t="s">
        <v>19</v>
      </c>
      <c r="E17" s="10" t="s">
        <v>62</v>
      </c>
      <c r="F17" s="10" t="s">
        <v>21</v>
      </c>
      <c r="G17" s="10" t="s">
        <v>22</v>
      </c>
      <c r="H17" s="10" t="s">
        <v>63</v>
      </c>
      <c r="I17" s="10">
        <v>391723</v>
      </c>
      <c r="J17" s="12">
        <v>0.18</v>
      </c>
      <c r="K17" s="10" t="s">
        <v>24</v>
      </c>
      <c r="L17" s="10">
        <v>612</v>
      </c>
      <c r="M17" s="13">
        <v>0.49</v>
      </c>
      <c r="N17" s="14"/>
      <c r="O17" s="14">
        <v>30</v>
      </c>
      <c r="P17" s="15">
        <f t="shared" si="1"/>
        <v>18360</v>
      </c>
    </row>
    <row r="18" spans="1:16" ht="15.75" customHeight="1" x14ac:dyDescent="0.3">
      <c r="A18" s="10" t="s">
        <v>16</v>
      </c>
      <c r="B18" s="10" t="s">
        <v>17</v>
      </c>
      <c r="C18" s="10" t="s">
        <v>61</v>
      </c>
      <c r="D18" s="11" t="s">
        <v>19</v>
      </c>
      <c r="E18" s="10" t="s">
        <v>64</v>
      </c>
      <c r="F18" s="10" t="s">
        <v>26</v>
      </c>
      <c r="G18" s="10" t="s">
        <v>22</v>
      </c>
      <c r="H18" s="10" t="s">
        <v>65</v>
      </c>
      <c r="I18" s="10">
        <v>391723</v>
      </c>
      <c r="J18" s="12">
        <v>0.18</v>
      </c>
      <c r="K18" s="10" t="s">
        <v>24</v>
      </c>
      <c r="L18" s="10">
        <v>828</v>
      </c>
      <c r="M18" s="13">
        <v>0.49</v>
      </c>
      <c r="N18" s="14"/>
      <c r="O18" s="14">
        <v>20</v>
      </c>
      <c r="P18" s="15">
        <f t="shared" si="1"/>
        <v>16560</v>
      </c>
    </row>
    <row r="19" spans="1:16" ht="15.75" customHeight="1" x14ac:dyDescent="0.3">
      <c r="A19" s="10" t="s">
        <v>16</v>
      </c>
      <c r="B19" s="10" t="s">
        <v>17</v>
      </c>
      <c r="C19" s="10" t="s">
        <v>61</v>
      </c>
      <c r="D19" s="11" t="s">
        <v>19</v>
      </c>
      <c r="E19" s="10" t="s">
        <v>66</v>
      </c>
      <c r="F19" s="10" t="s">
        <v>29</v>
      </c>
      <c r="G19" s="10" t="s">
        <v>22</v>
      </c>
      <c r="H19" s="10" t="s">
        <v>67</v>
      </c>
      <c r="I19" s="10">
        <v>391723</v>
      </c>
      <c r="J19" s="12">
        <v>0.18</v>
      </c>
      <c r="K19" s="10" t="s">
        <v>24</v>
      </c>
      <c r="L19" s="10">
        <v>1206</v>
      </c>
      <c r="M19" s="13">
        <v>0.49</v>
      </c>
      <c r="N19" s="14"/>
      <c r="O19" s="14">
        <v>15</v>
      </c>
      <c r="P19" s="15">
        <f t="shared" si="1"/>
        <v>18090</v>
      </c>
    </row>
    <row r="20" spans="1:16" ht="15.75" customHeight="1" x14ac:dyDescent="0.3">
      <c r="A20" s="10" t="s">
        <v>16</v>
      </c>
      <c r="B20" s="10" t="s">
        <v>17</v>
      </c>
      <c r="C20" s="10" t="s">
        <v>61</v>
      </c>
      <c r="D20" s="11" t="s">
        <v>19</v>
      </c>
      <c r="E20" s="10" t="s">
        <v>68</v>
      </c>
      <c r="F20" s="10" t="s">
        <v>32</v>
      </c>
      <c r="G20" s="10" t="s">
        <v>22</v>
      </c>
      <c r="H20" s="10" t="s">
        <v>69</v>
      </c>
      <c r="I20" s="10">
        <v>391723</v>
      </c>
      <c r="J20" s="12">
        <v>0.18</v>
      </c>
      <c r="K20" s="10" t="s">
        <v>24</v>
      </c>
      <c r="L20" s="10">
        <v>1662</v>
      </c>
      <c r="M20" s="13">
        <v>0.49</v>
      </c>
      <c r="N20" s="14"/>
      <c r="O20" s="14">
        <v>10</v>
      </c>
      <c r="P20" s="15">
        <f t="shared" si="1"/>
        <v>16620</v>
      </c>
    </row>
    <row r="21" spans="1:16" ht="15.75" customHeight="1" x14ac:dyDescent="0.3">
      <c r="A21" s="10" t="s">
        <v>16</v>
      </c>
      <c r="B21" s="10" t="s">
        <v>17</v>
      </c>
      <c r="C21" s="10" t="s">
        <v>61</v>
      </c>
      <c r="D21" s="11" t="s">
        <v>19</v>
      </c>
      <c r="E21" s="10" t="s">
        <v>70</v>
      </c>
      <c r="F21" s="10" t="s">
        <v>35</v>
      </c>
      <c r="G21" s="10" t="s">
        <v>22</v>
      </c>
      <c r="H21" s="10" t="s">
        <v>71</v>
      </c>
      <c r="I21" s="10">
        <v>391723</v>
      </c>
      <c r="J21" s="12">
        <v>0.18</v>
      </c>
      <c r="K21" s="10" t="s">
        <v>24</v>
      </c>
      <c r="L21" s="10">
        <v>2028</v>
      </c>
      <c r="M21" s="13">
        <v>0.49</v>
      </c>
      <c r="N21" s="14"/>
      <c r="O21" s="14">
        <v>10</v>
      </c>
      <c r="P21" s="15">
        <f t="shared" si="1"/>
        <v>20280</v>
      </c>
    </row>
    <row r="22" spans="1:16" ht="15.75" customHeight="1" x14ac:dyDescent="0.3">
      <c r="A22" s="10" t="s">
        <v>16</v>
      </c>
      <c r="B22" s="10" t="s">
        <v>17</v>
      </c>
      <c r="C22" s="10" t="s">
        <v>61</v>
      </c>
      <c r="D22" s="11" t="s">
        <v>19</v>
      </c>
      <c r="E22" s="10" t="s">
        <v>72</v>
      </c>
      <c r="F22" s="10" t="s">
        <v>38</v>
      </c>
      <c r="G22" s="10" t="s">
        <v>22</v>
      </c>
      <c r="H22" s="10" t="s">
        <v>73</v>
      </c>
      <c r="I22" s="10">
        <v>391723</v>
      </c>
      <c r="J22" s="12">
        <v>0.18</v>
      </c>
      <c r="K22" s="10" t="s">
        <v>24</v>
      </c>
      <c r="L22" s="10">
        <v>2790</v>
      </c>
      <c r="M22" s="13">
        <v>0.49</v>
      </c>
      <c r="N22" s="14"/>
      <c r="O22" s="14">
        <v>6</v>
      </c>
      <c r="P22" s="15">
        <f t="shared" si="1"/>
        <v>16740</v>
      </c>
    </row>
    <row r="23" spans="1:16" ht="15.75" customHeight="1" x14ac:dyDescent="0.3">
      <c r="A23" s="10" t="s">
        <v>16</v>
      </c>
      <c r="B23" s="10" t="s">
        <v>17</v>
      </c>
      <c r="C23" s="10" t="s">
        <v>61</v>
      </c>
      <c r="D23" s="11" t="s">
        <v>19</v>
      </c>
      <c r="E23" s="10" t="s">
        <v>74</v>
      </c>
      <c r="F23" s="10" t="s">
        <v>41</v>
      </c>
      <c r="G23" s="10" t="s">
        <v>22</v>
      </c>
      <c r="H23" s="10" t="s">
        <v>75</v>
      </c>
      <c r="I23" s="10">
        <v>391723</v>
      </c>
      <c r="J23" s="12">
        <v>0.18</v>
      </c>
      <c r="K23" s="10" t="s">
        <v>24</v>
      </c>
      <c r="L23" s="10">
        <v>4320</v>
      </c>
      <c r="M23" s="13">
        <v>0.49</v>
      </c>
      <c r="N23" s="14"/>
      <c r="O23" s="14">
        <v>5</v>
      </c>
      <c r="P23" s="15">
        <f t="shared" si="1"/>
        <v>21600</v>
      </c>
    </row>
    <row r="24" spans="1:16" ht="15.75" customHeight="1" x14ac:dyDescent="0.3">
      <c r="A24" s="10" t="s">
        <v>16</v>
      </c>
      <c r="B24" s="10" t="s">
        <v>17</v>
      </c>
      <c r="C24" s="10" t="s">
        <v>61</v>
      </c>
      <c r="D24" s="11" t="s">
        <v>19</v>
      </c>
      <c r="E24" s="10" t="s">
        <v>76</v>
      </c>
      <c r="F24" s="10" t="s">
        <v>44</v>
      </c>
      <c r="G24" s="10" t="s">
        <v>22</v>
      </c>
      <c r="H24" s="10" t="s">
        <v>77</v>
      </c>
      <c r="I24" s="10">
        <v>391723</v>
      </c>
      <c r="J24" s="12">
        <v>0.18</v>
      </c>
      <c r="K24" s="10" t="s">
        <v>24</v>
      </c>
      <c r="L24" s="10">
        <v>5760</v>
      </c>
      <c r="M24" s="13">
        <v>0.49</v>
      </c>
      <c r="N24" s="14"/>
      <c r="O24" s="14">
        <v>3</v>
      </c>
      <c r="P24" s="15">
        <f t="shared" si="1"/>
        <v>17280</v>
      </c>
    </row>
    <row r="25" spans="1:16" ht="15.75" customHeight="1" x14ac:dyDescent="0.3">
      <c r="A25" s="10" t="s">
        <v>16</v>
      </c>
      <c r="B25" s="10" t="s">
        <v>17</v>
      </c>
      <c r="C25" s="10" t="s">
        <v>61</v>
      </c>
      <c r="D25" s="11" t="s">
        <v>19</v>
      </c>
      <c r="E25" s="10" t="s">
        <v>78</v>
      </c>
      <c r="F25" s="10" t="s">
        <v>47</v>
      </c>
      <c r="G25" s="10" t="s">
        <v>22</v>
      </c>
      <c r="H25" s="10" t="s">
        <v>79</v>
      </c>
      <c r="I25" s="10">
        <v>391723</v>
      </c>
      <c r="J25" s="12">
        <v>0.18</v>
      </c>
      <c r="K25" s="10" t="s">
        <v>24</v>
      </c>
      <c r="L25" s="10">
        <v>8388</v>
      </c>
      <c r="M25" s="13">
        <v>0.49</v>
      </c>
      <c r="N25" s="14"/>
      <c r="O25" s="14">
        <v>2</v>
      </c>
      <c r="P25" s="15">
        <f t="shared" si="1"/>
        <v>16776</v>
      </c>
    </row>
    <row r="26" spans="1:16" ht="15.75" customHeight="1" x14ac:dyDescent="0.3">
      <c r="A26" s="10" t="s">
        <v>16</v>
      </c>
      <c r="B26" s="10" t="s">
        <v>17</v>
      </c>
      <c r="C26" s="10" t="s">
        <v>61</v>
      </c>
      <c r="D26" s="11" t="s">
        <v>19</v>
      </c>
      <c r="E26" s="10" t="s">
        <v>80</v>
      </c>
      <c r="F26" s="10" t="s">
        <v>50</v>
      </c>
      <c r="G26" s="10" t="s">
        <v>22</v>
      </c>
      <c r="H26" s="10" t="s">
        <v>81</v>
      </c>
      <c r="I26" s="10">
        <v>391723</v>
      </c>
      <c r="J26" s="12">
        <v>0.18</v>
      </c>
      <c r="K26" s="10" t="s">
        <v>24</v>
      </c>
      <c r="L26" s="10">
        <v>16758</v>
      </c>
      <c r="M26" s="13">
        <v>0.49</v>
      </c>
      <c r="N26" s="14"/>
      <c r="O26" s="14">
        <v>1</v>
      </c>
      <c r="P26" s="15">
        <f t="shared" si="1"/>
        <v>16758</v>
      </c>
    </row>
    <row r="27" spans="1:16" ht="15.75" customHeight="1" x14ac:dyDescent="0.3">
      <c r="A27" s="10" t="s">
        <v>16</v>
      </c>
      <c r="B27" s="10" t="s">
        <v>17</v>
      </c>
      <c r="C27" s="10" t="s">
        <v>61</v>
      </c>
      <c r="D27" s="11" t="s">
        <v>19</v>
      </c>
      <c r="E27" s="10" t="s">
        <v>82</v>
      </c>
      <c r="F27" s="10" t="s">
        <v>53</v>
      </c>
      <c r="G27" s="10" t="s">
        <v>22</v>
      </c>
      <c r="H27" s="10" t="s">
        <v>83</v>
      </c>
      <c r="I27" s="10">
        <v>391723</v>
      </c>
      <c r="J27" s="12">
        <v>0.18</v>
      </c>
      <c r="K27" s="10" t="s">
        <v>24</v>
      </c>
      <c r="L27" s="10">
        <v>25182</v>
      </c>
      <c r="M27" s="13">
        <v>0.49</v>
      </c>
      <c r="N27" s="14"/>
      <c r="O27" s="14">
        <v>1</v>
      </c>
      <c r="P27" s="15">
        <f t="shared" si="1"/>
        <v>25182</v>
      </c>
    </row>
    <row r="28" spans="1:16" ht="15.75" customHeight="1" x14ac:dyDescent="0.3">
      <c r="A28" s="10" t="s">
        <v>16</v>
      </c>
      <c r="B28" s="10" t="s">
        <v>17</v>
      </c>
      <c r="C28" s="10" t="s">
        <v>61</v>
      </c>
      <c r="D28" s="11" t="s">
        <v>19</v>
      </c>
      <c r="E28" s="10" t="s">
        <v>84</v>
      </c>
      <c r="F28" s="10" t="s">
        <v>56</v>
      </c>
      <c r="G28" s="10" t="s">
        <v>22</v>
      </c>
      <c r="H28" s="10" t="s">
        <v>85</v>
      </c>
      <c r="I28" s="10">
        <v>391723</v>
      </c>
      <c r="J28" s="12">
        <v>0.18</v>
      </c>
      <c r="K28" s="10" t="s">
        <v>24</v>
      </c>
      <c r="L28" s="10">
        <v>37608</v>
      </c>
      <c r="M28" s="13">
        <v>0.49</v>
      </c>
      <c r="N28" s="14"/>
      <c r="O28" s="14">
        <v>1</v>
      </c>
      <c r="P28" s="15">
        <f t="shared" si="1"/>
        <v>37608</v>
      </c>
    </row>
    <row r="29" spans="1:16" ht="15.75" customHeight="1" x14ac:dyDescent="0.3">
      <c r="A29" s="10" t="s">
        <v>16</v>
      </c>
      <c r="B29" s="10" t="s">
        <v>17</v>
      </c>
      <c r="C29" s="10" t="s">
        <v>61</v>
      </c>
      <c r="D29" s="11" t="s">
        <v>19</v>
      </c>
      <c r="E29" s="10" t="s">
        <v>86</v>
      </c>
      <c r="F29" s="10" t="s">
        <v>59</v>
      </c>
      <c r="G29" s="10" t="s">
        <v>22</v>
      </c>
      <c r="H29" s="10" t="s">
        <v>87</v>
      </c>
      <c r="I29" s="10">
        <v>391723</v>
      </c>
      <c r="J29" s="12">
        <v>0.18</v>
      </c>
      <c r="K29" s="10" t="s">
        <v>24</v>
      </c>
      <c r="L29" s="10">
        <v>54312</v>
      </c>
      <c r="M29" s="13">
        <v>0.49</v>
      </c>
      <c r="N29" s="14"/>
      <c r="O29" s="14">
        <v>1</v>
      </c>
      <c r="P29" s="15">
        <f t="shared" si="1"/>
        <v>54312</v>
      </c>
    </row>
    <row r="30" spans="1:16" ht="15.75" customHeight="1" x14ac:dyDescent="0.3">
      <c r="A30" s="10" t="s">
        <v>16</v>
      </c>
      <c r="B30" s="10" t="s">
        <v>17</v>
      </c>
      <c r="C30" s="10" t="s">
        <v>18</v>
      </c>
      <c r="D30" s="11" t="s">
        <v>88</v>
      </c>
      <c r="E30" s="10" t="s">
        <v>89</v>
      </c>
      <c r="F30" s="10" t="s">
        <v>21</v>
      </c>
      <c r="G30" s="10" t="s">
        <v>22</v>
      </c>
      <c r="H30" s="10" t="s">
        <v>90</v>
      </c>
      <c r="I30" s="10">
        <v>391723</v>
      </c>
      <c r="J30" s="12">
        <v>0.18</v>
      </c>
      <c r="K30" s="10" t="s">
        <v>24</v>
      </c>
      <c r="L30" s="10">
        <v>378.54</v>
      </c>
      <c r="M30" s="13">
        <v>0.49</v>
      </c>
      <c r="N30" s="14"/>
      <c r="O30" s="14">
        <v>25</v>
      </c>
      <c r="P30" s="15">
        <f t="shared" si="1"/>
        <v>9463.5</v>
      </c>
    </row>
    <row r="31" spans="1:16" ht="15.75" customHeight="1" x14ac:dyDescent="0.3">
      <c r="A31" s="10" t="s">
        <v>16</v>
      </c>
      <c r="B31" s="10" t="s">
        <v>17</v>
      </c>
      <c r="C31" s="10" t="s">
        <v>18</v>
      </c>
      <c r="D31" s="11" t="s">
        <v>88</v>
      </c>
      <c r="E31" s="10" t="s">
        <v>91</v>
      </c>
      <c r="F31" s="10" t="s">
        <v>26</v>
      </c>
      <c r="G31" s="10" t="s">
        <v>22</v>
      </c>
      <c r="H31" s="10" t="s">
        <v>92</v>
      </c>
      <c r="I31" s="10">
        <v>391723</v>
      </c>
      <c r="J31" s="12">
        <v>0.18</v>
      </c>
      <c r="K31" s="10" t="s">
        <v>24</v>
      </c>
      <c r="L31" s="10">
        <v>481.38</v>
      </c>
      <c r="M31" s="13">
        <v>0.49</v>
      </c>
      <c r="N31" s="14"/>
      <c r="O31" s="14">
        <v>25</v>
      </c>
      <c r="P31" s="15">
        <f t="shared" si="1"/>
        <v>12034.5</v>
      </c>
    </row>
    <row r="32" spans="1:16" ht="15.75" customHeight="1" x14ac:dyDescent="0.3">
      <c r="A32" s="10" t="s">
        <v>16</v>
      </c>
      <c r="B32" s="10" t="s">
        <v>17</v>
      </c>
      <c r="C32" s="10" t="s">
        <v>18</v>
      </c>
      <c r="D32" s="11" t="s">
        <v>88</v>
      </c>
      <c r="E32" s="10" t="s">
        <v>93</v>
      </c>
      <c r="F32" s="10" t="s">
        <v>29</v>
      </c>
      <c r="G32" s="10" t="s">
        <v>22</v>
      </c>
      <c r="H32" s="10" t="s">
        <v>94</v>
      </c>
      <c r="I32" s="10">
        <v>391723</v>
      </c>
      <c r="J32" s="12">
        <v>0.18</v>
      </c>
      <c r="K32" s="10" t="s">
        <v>24</v>
      </c>
      <c r="L32" s="10">
        <v>732.06000000000006</v>
      </c>
      <c r="M32" s="13">
        <v>0.49</v>
      </c>
      <c r="N32" s="14"/>
      <c r="O32" s="14">
        <v>15</v>
      </c>
      <c r="P32" s="15">
        <f t="shared" si="1"/>
        <v>10980.900000000001</v>
      </c>
    </row>
    <row r="33" spans="1:16" ht="15.75" customHeight="1" x14ac:dyDescent="0.3">
      <c r="A33" s="10" t="s">
        <v>16</v>
      </c>
      <c r="B33" s="10" t="s">
        <v>17</v>
      </c>
      <c r="C33" s="10" t="s">
        <v>18</v>
      </c>
      <c r="D33" s="11" t="s">
        <v>88</v>
      </c>
      <c r="E33" s="10" t="s">
        <v>95</v>
      </c>
      <c r="F33" s="10" t="s">
        <v>32</v>
      </c>
      <c r="G33" s="10" t="s">
        <v>22</v>
      </c>
      <c r="H33" s="10" t="s">
        <v>96</v>
      </c>
      <c r="I33" s="10">
        <v>391723</v>
      </c>
      <c r="J33" s="12">
        <v>0.18</v>
      </c>
      <c r="K33" s="10" t="s">
        <v>24</v>
      </c>
      <c r="L33" s="10">
        <v>985.26</v>
      </c>
      <c r="M33" s="13">
        <v>0.49</v>
      </c>
      <c r="N33" s="14"/>
      <c r="O33" s="14">
        <v>15</v>
      </c>
      <c r="P33" s="15">
        <f t="shared" si="1"/>
        <v>14778.9</v>
      </c>
    </row>
    <row r="34" spans="1:16" ht="15.75" customHeight="1" x14ac:dyDescent="0.3">
      <c r="A34" s="10" t="s">
        <v>16</v>
      </c>
      <c r="B34" s="10" t="s">
        <v>17</v>
      </c>
      <c r="C34" s="10" t="s">
        <v>18</v>
      </c>
      <c r="D34" s="11" t="s">
        <v>88</v>
      </c>
      <c r="E34" s="10" t="s">
        <v>97</v>
      </c>
      <c r="F34" s="10" t="s">
        <v>35</v>
      </c>
      <c r="G34" s="10" t="s">
        <v>22</v>
      </c>
      <c r="H34" s="10" t="s">
        <v>98</v>
      </c>
      <c r="I34" s="10">
        <v>391723</v>
      </c>
      <c r="J34" s="12">
        <v>0.18</v>
      </c>
      <c r="K34" s="10" t="s">
        <v>24</v>
      </c>
      <c r="L34" s="10">
        <v>1185.8399999999999</v>
      </c>
      <c r="M34" s="13">
        <v>0.49</v>
      </c>
      <c r="N34" s="14"/>
      <c r="O34" s="14">
        <v>10</v>
      </c>
      <c r="P34" s="15">
        <f t="shared" si="1"/>
        <v>11858.4</v>
      </c>
    </row>
    <row r="35" spans="1:16" ht="15.75" customHeight="1" x14ac:dyDescent="0.3">
      <c r="A35" s="10" t="s">
        <v>16</v>
      </c>
      <c r="B35" s="10" t="s">
        <v>17</v>
      </c>
      <c r="C35" s="10" t="s">
        <v>18</v>
      </c>
      <c r="D35" s="11" t="s">
        <v>88</v>
      </c>
      <c r="E35" s="10" t="s">
        <v>99</v>
      </c>
      <c r="F35" s="10" t="s">
        <v>38</v>
      </c>
      <c r="G35" s="10" t="s">
        <v>22</v>
      </c>
      <c r="H35" s="10" t="s">
        <v>100</v>
      </c>
      <c r="I35" s="10">
        <v>391723</v>
      </c>
      <c r="J35" s="12">
        <v>0.18</v>
      </c>
      <c r="K35" s="10" t="s">
        <v>24</v>
      </c>
      <c r="L35" s="10">
        <v>1514.28</v>
      </c>
      <c r="M35" s="13">
        <v>0.49</v>
      </c>
      <c r="N35" s="14"/>
      <c r="O35" s="14">
        <v>6</v>
      </c>
      <c r="P35" s="15">
        <f t="shared" si="1"/>
        <v>9085.68</v>
      </c>
    </row>
    <row r="36" spans="1:16" ht="15.75" customHeight="1" x14ac:dyDescent="0.3">
      <c r="A36" s="10" t="s">
        <v>16</v>
      </c>
      <c r="B36" s="10" t="s">
        <v>17</v>
      </c>
      <c r="C36" s="10" t="s">
        <v>18</v>
      </c>
      <c r="D36" s="11" t="s">
        <v>88</v>
      </c>
      <c r="E36" s="10" t="s">
        <v>101</v>
      </c>
      <c r="F36" s="10" t="s">
        <v>41</v>
      </c>
      <c r="G36" s="10" t="s">
        <v>22</v>
      </c>
      <c r="H36" s="10" t="s">
        <v>102</v>
      </c>
      <c r="I36" s="10">
        <v>391723</v>
      </c>
      <c r="J36" s="12">
        <v>0.18</v>
      </c>
      <c r="K36" s="10" t="s">
        <v>24</v>
      </c>
      <c r="L36" s="10">
        <v>2827.98</v>
      </c>
      <c r="M36" s="13">
        <v>0.49</v>
      </c>
      <c r="N36" s="14"/>
      <c r="O36" s="14">
        <v>5</v>
      </c>
      <c r="P36" s="15">
        <f t="shared" si="1"/>
        <v>14139.9</v>
      </c>
    </row>
    <row r="37" spans="1:16" ht="15.75" customHeight="1" x14ac:dyDescent="0.3">
      <c r="A37" s="10" t="s">
        <v>16</v>
      </c>
      <c r="B37" s="10" t="s">
        <v>17</v>
      </c>
      <c r="C37" s="10" t="s">
        <v>18</v>
      </c>
      <c r="D37" s="11" t="s">
        <v>88</v>
      </c>
      <c r="E37" s="10" t="s">
        <v>103</v>
      </c>
      <c r="F37" s="10" t="s">
        <v>44</v>
      </c>
      <c r="G37" s="10" t="s">
        <v>22</v>
      </c>
      <c r="H37" s="10" t="s">
        <v>104</v>
      </c>
      <c r="I37" s="10">
        <v>391723</v>
      </c>
      <c r="J37" s="12">
        <v>0.18</v>
      </c>
      <c r="K37" s="10" t="s">
        <v>24</v>
      </c>
      <c r="L37" s="10">
        <v>3710.46</v>
      </c>
      <c r="M37" s="13">
        <v>0.49</v>
      </c>
      <c r="N37" s="14"/>
      <c r="O37" s="14">
        <v>4</v>
      </c>
      <c r="P37" s="15">
        <f t="shared" si="1"/>
        <v>14841.84</v>
      </c>
    </row>
    <row r="38" spans="1:16" ht="15.75" customHeight="1" x14ac:dyDescent="0.3">
      <c r="A38" s="10" t="s">
        <v>16</v>
      </c>
      <c r="B38" s="10" t="s">
        <v>17</v>
      </c>
      <c r="C38" s="10" t="s">
        <v>18</v>
      </c>
      <c r="D38" s="11" t="s">
        <v>88</v>
      </c>
      <c r="E38" s="10" t="s">
        <v>105</v>
      </c>
      <c r="F38" s="10" t="s">
        <v>47</v>
      </c>
      <c r="G38" s="10" t="s">
        <v>22</v>
      </c>
      <c r="H38" s="10" t="s">
        <v>106</v>
      </c>
      <c r="I38" s="10">
        <v>391723</v>
      </c>
      <c r="J38" s="12">
        <v>0.18</v>
      </c>
      <c r="K38" s="10" t="s">
        <v>24</v>
      </c>
      <c r="L38" s="10">
        <v>5264.82</v>
      </c>
      <c r="M38" s="13">
        <v>0.49</v>
      </c>
      <c r="N38" s="14"/>
      <c r="O38" s="14">
        <v>2</v>
      </c>
      <c r="P38" s="15">
        <f t="shared" si="1"/>
        <v>10529.64</v>
      </c>
    </row>
    <row r="39" spans="1:16" ht="15.75" customHeight="1" x14ac:dyDescent="0.3">
      <c r="A39" s="10" t="s">
        <v>16</v>
      </c>
      <c r="B39" s="10" t="s">
        <v>17</v>
      </c>
      <c r="C39" s="10" t="s">
        <v>61</v>
      </c>
      <c r="D39" s="11" t="s">
        <v>88</v>
      </c>
      <c r="E39" s="10" t="s">
        <v>107</v>
      </c>
      <c r="F39" s="10" t="s">
        <v>21</v>
      </c>
      <c r="G39" s="10" t="s">
        <v>22</v>
      </c>
      <c r="H39" s="10" t="s">
        <v>108</v>
      </c>
      <c r="I39" s="10">
        <v>391723</v>
      </c>
      <c r="J39" s="12">
        <v>0.18</v>
      </c>
      <c r="K39" s="10" t="s">
        <v>24</v>
      </c>
      <c r="L39" s="10">
        <v>453.78</v>
      </c>
      <c r="M39" s="13">
        <v>0.49</v>
      </c>
      <c r="N39" s="14"/>
      <c r="O39" s="14">
        <v>25</v>
      </c>
      <c r="P39" s="15">
        <f t="shared" si="1"/>
        <v>11344.5</v>
      </c>
    </row>
    <row r="40" spans="1:16" ht="15.75" customHeight="1" x14ac:dyDescent="0.3">
      <c r="A40" s="10" t="s">
        <v>16</v>
      </c>
      <c r="B40" s="10" t="s">
        <v>17</v>
      </c>
      <c r="C40" s="10" t="s">
        <v>61</v>
      </c>
      <c r="D40" s="11" t="s">
        <v>88</v>
      </c>
      <c r="E40" s="10" t="s">
        <v>109</v>
      </c>
      <c r="F40" s="10" t="s">
        <v>26</v>
      </c>
      <c r="G40" s="10" t="s">
        <v>22</v>
      </c>
      <c r="H40" s="10" t="s">
        <v>110</v>
      </c>
      <c r="I40" s="10">
        <v>391723</v>
      </c>
      <c r="J40" s="12">
        <v>0.18</v>
      </c>
      <c r="K40" s="10" t="s">
        <v>24</v>
      </c>
      <c r="L40" s="10">
        <v>631.79999999999995</v>
      </c>
      <c r="M40" s="13">
        <v>0.49</v>
      </c>
      <c r="N40" s="14"/>
      <c r="O40" s="14">
        <v>25</v>
      </c>
      <c r="P40" s="15">
        <f t="shared" si="1"/>
        <v>15794.999999999998</v>
      </c>
    </row>
    <row r="41" spans="1:16" ht="15.75" customHeight="1" x14ac:dyDescent="0.3">
      <c r="A41" s="10" t="s">
        <v>16</v>
      </c>
      <c r="B41" s="10" t="s">
        <v>17</v>
      </c>
      <c r="C41" s="10" t="s">
        <v>61</v>
      </c>
      <c r="D41" s="11" t="s">
        <v>88</v>
      </c>
      <c r="E41" s="10" t="s">
        <v>111</v>
      </c>
      <c r="F41" s="10" t="s">
        <v>29</v>
      </c>
      <c r="G41" s="10" t="s">
        <v>22</v>
      </c>
      <c r="H41" s="10" t="s">
        <v>112</v>
      </c>
      <c r="I41" s="10">
        <v>391723</v>
      </c>
      <c r="J41" s="12">
        <v>0.18</v>
      </c>
      <c r="K41" s="10" t="s">
        <v>24</v>
      </c>
      <c r="L41" s="10">
        <v>883.5</v>
      </c>
      <c r="M41" s="13">
        <v>0.49</v>
      </c>
      <c r="N41" s="14"/>
      <c r="O41" s="14">
        <v>15</v>
      </c>
      <c r="P41" s="15">
        <f t="shared" si="1"/>
        <v>13252.5</v>
      </c>
    </row>
    <row r="42" spans="1:16" ht="15.75" customHeight="1" x14ac:dyDescent="0.3">
      <c r="A42" s="10" t="s">
        <v>16</v>
      </c>
      <c r="B42" s="10" t="s">
        <v>17</v>
      </c>
      <c r="C42" s="10" t="s">
        <v>61</v>
      </c>
      <c r="D42" s="11" t="s">
        <v>88</v>
      </c>
      <c r="E42" s="10" t="s">
        <v>113</v>
      </c>
      <c r="F42" s="10" t="s">
        <v>32</v>
      </c>
      <c r="G42" s="10" t="s">
        <v>22</v>
      </c>
      <c r="H42" s="10" t="s">
        <v>114</v>
      </c>
      <c r="I42" s="10">
        <v>391723</v>
      </c>
      <c r="J42" s="12">
        <v>0.18</v>
      </c>
      <c r="K42" s="10" t="s">
        <v>24</v>
      </c>
      <c r="L42" s="10">
        <v>1263.54</v>
      </c>
      <c r="M42" s="13">
        <v>0.49</v>
      </c>
      <c r="N42" s="14"/>
      <c r="O42" s="14">
        <v>15</v>
      </c>
      <c r="P42" s="15">
        <f t="shared" si="1"/>
        <v>18953.099999999999</v>
      </c>
    </row>
    <row r="43" spans="1:16" ht="15.75" customHeight="1" x14ac:dyDescent="0.3">
      <c r="A43" s="10" t="s">
        <v>16</v>
      </c>
      <c r="B43" s="10" t="s">
        <v>17</v>
      </c>
      <c r="C43" s="10" t="s">
        <v>61</v>
      </c>
      <c r="D43" s="11" t="s">
        <v>88</v>
      </c>
      <c r="E43" s="10" t="s">
        <v>115</v>
      </c>
      <c r="F43" s="10" t="s">
        <v>35</v>
      </c>
      <c r="G43" s="10" t="s">
        <v>22</v>
      </c>
      <c r="H43" s="10" t="s">
        <v>116</v>
      </c>
      <c r="I43" s="10">
        <v>391723</v>
      </c>
      <c r="J43" s="12">
        <v>0.18</v>
      </c>
      <c r="K43" s="10" t="s">
        <v>24</v>
      </c>
      <c r="L43" s="10">
        <v>1514.28</v>
      </c>
      <c r="M43" s="13">
        <v>0.49</v>
      </c>
      <c r="N43" s="14"/>
      <c r="O43" s="14">
        <v>10</v>
      </c>
      <c r="P43" s="15">
        <f t="shared" si="1"/>
        <v>15142.8</v>
      </c>
    </row>
    <row r="44" spans="1:16" ht="15.75" customHeight="1" x14ac:dyDescent="0.3">
      <c r="A44" s="10" t="s">
        <v>16</v>
      </c>
      <c r="B44" s="10" t="s">
        <v>17</v>
      </c>
      <c r="C44" s="10" t="s">
        <v>61</v>
      </c>
      <c r="D44" s="11" t="s">
        <v>88</v>
      </c>
      <c r="E44" s="10" t="s">
        <v>117</v>
      </c>
      <c r="F44" s="10" t="s">
        <v>38</v>
      </c>
      <c r="G44" s="10" t="s">
        <v>22</v>
      </c>
      <c r="H44" s="10" t="s">
        <v>118</v>
      </c>
      <c r="I44" s="10">
        <v>391723</v>
      </c>
      <c r="J44" s="12">
        <v>0.18</v>
      </c>
      <c r="K44" s="10" t="s">
        <v>24</v>
      </c>
      <c r="L44" s="10">
        <v>2025.72</v>
      </c>
      <c r="M44" s="13">
        <v>0.49</v>
      </c>
      <c r="N44" s="14"/>
      <c r="O44" s="14">
        <v>6</v>
      </c>
      <c r="P44" s="15">
        <f t="shared" si="1"/>
        <v>12154.32</v>
      </c>
    </row>
    <row r="45" spans="1:16" ht="15.75" customHeight="1" x14ac:dyDescent="0.3">
      <c r="A45" s="10" t="s">
        <v>16</v>
      </c>
      <c r="B45" s="10" t="s">
        <v>17</v>
      </c>
      <c r="C45" s="10" t="s">
        <v>61</v>
      </c>
      <c r="D45" s="11" t="s">
        <v>88</v>
      </c>
      <c r="E45" s="15" t="s">
        <v>119</v>
      </c>
      <c r="F45" s="10" t="s">
        <v>41</v>
      </c>
      <c r="G45" s="10" t="s">
        <v>22</v>
      </c>
      <c r="H45" s="15" t="s">
        <v>120</v>
      </c>
      <c r="I45" s="10">
        <v>391723</v>
      </c>
      <c r="J45" s="12">
        <v>0.18</v>
      </c>
      <c r="K45" s="10" t="s">
        <v>24</v>
      </c>
      <c r="L45" s="10">
        <v>3730.5</v>
      </c>
      <c r="M45" s="13">
        <v>0.49</v>
      </c>
      <c r="N45" s="14"/>
      <c r="O45" s="14">
        <v>5</v>
      </c>
      <c r="P45" s="15">
        <f t="shared" si="1"/>
        <v>18652.5</v>
      </c>
    </row>
    <row r="46" spans="1:16" ht="15.75" customHeight="1" x14ac:dyDescent="0.3">
      <c r="A46" s="10" t="s">
        <v>16</v>
      </c>
      <c r="B46" s="10" t="s">
        <v>17</v>
      </c>
      <c r="C46" s="10" t="s">
        <v>61</v>
      </c>
      <c r="D46" s="11" t="s">
        <v>88</v>
      </c>
      <c r="E46" s="15" t="s">
        <v>121</v>
      </c>
      <c r="F46" s="10" t="s">
        <v>44</v>
      </c>
      <c r="G46" s="10" t="s">
        <v>22</v>
      </c>
      <c r="H46" s="15" t="s">
        <v>122</v>
      </c>
      <c r="I46" s="10">
        <v>391723</v>
      </c>
      <c r="J46" s="12">
        <v>0.18</v>
      </c>
      <c r="K46" s="10" t="s">
        <v>24</v>
      </c>
      <c r="L46" s="10">
        <v>4994.04</v>
      </c>
      <c r="M46" s="13">
        <v>0.49</v>
      </c>
      <c r="N46" s="14"/>
      <c r="O46" s="14">
        <v>4</v>
      </c>
      <c r="P46" s="15">
        <f t="shared" si="1"/>
        <v>19976.16</v>
      </c>
    </row>
    <row r="47" spans="1:16" ht="15.75" customHeight="1" x14ac:dyDescent="0.3">
      <c r="A47" s="10" t="s">
        <v>16</v>
      </c>
      <c r="B47" s="10" t="s">
        <v>17</v>
      </c>
      <c r="C47" s="10" t="s">
        <v>61</v>
      </c>
      <c r="D47" s="11" t="s">
        <v>88</v>
      </c>
      <c r="E47" s="15" t="s">
        <v>123</v>
      </c>
      <c r="F47" s="10" t="s">
        <v>47</v>
      </c>
      <c r="G47" s="10" t="s">
        <v>22</v>
      </c>
      <c r="H47" s="15" t="s">
        <v>124</v>
      </c>
      <c r="I47" s="10">
        <v>391723</v>
      </c>
      <c r="J47" s="12">
        <v>0.18</v>
      </c>
      <c r="K47" s="10" t="s">
        <v>24</v>
      </c>
      <c r="L47" s="10">
        <v>7320.5999999999995</v>
      </c>
      <c r="M47" s="13">
        <v>0.49</v>
      </c>
      <c r="N47" s="14"/>
      <c r="O47" s="14">
        <v>2</v>
      </c>
      <c r="P47" s="15">
        <f t="shared" si="1"/>
        <v>14641.199999999999</v>
      </c>
    </row>
  </sheetData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UPVC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CONSTRUCTION</dc:creator>
  <cp:lastModifiedBy>SHIVANI CONSTRUCTION</cp:lastModifiedBy>
  <dcterms:created xsi:type="dcterms:W3CDTF">2026-09-25T17:07:06Z</dcterms:created>
  <dcterms:modified xsi:type="dcterms:W3CDTF">2026-09-25T17:17:46Z</dcterms:modified>
</cp:coreProperties>
</file>