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you design i love that &#10;b" sheetId="1" r:id="rId5"/>
  </sheets>
  <definedNames/>
  <calcPr/>
</workbook>
</file>

<file path=xl/sharedStrings.xml><?xml version="1.0" encoding="utf-8"?>
<sst xmlns="http://schemas.openxmlformats.org/spreadsheetml/2006/main" count="172" uniqueCount="71">
  <si>
    <t>Category</t>
  </si>
  <si>
    <t>Sub-Category</t>
  </si>
  <si>
    <t>Brand</t>
  </si>
  <si>
    <t>Product Name</t>
  </si>
  <si>
    <t>Product Group</t>
  </si>
  <si>
    <t>Length</t>
  </si>
  <si>
    <t>Size (cm)</t>
  </si>
  <si>
    <t>Size (inch)</t>
  </si>
  <si>
    <t>Product Code</t>
  </si>
  <si>
    <t>Std. Pkg (Nos.)</t>
  </si>
  <si>
    <t>MRP (Rs) per pc</t>
  </si>
  <si>
    <t>discount</t>
  </si>
  <si>
    <t>selling_price</t>
  </si>
  <si>
    <t>image_url</t>
  </si>
  <si>
    <t>PIPES</t>
  </si>
  <si>
    <t>CPVC</t>
  </si>
  <si>
    <t>Astral</t>
  </si>
  <si>
    <t>PIPE</t>
  </si>
  <si>
    <t>SDR-11</t>
  </si>
  <si>
    <t>3 METRE</t>
  </si>
  <si>
    <t>M511110301</t>
  </si>
  <si>
    <t>https://images.jdmagicbox.com/quickquotes/images_main/astral-cpvc-pipe-2229719442-6b9d0pqz.jpg</t>
  </si>
  <si>
    <t>5 METRE</t>
  </si>
  <si>
    <t>M511110501</t>
  </si>
  <si>
    <t>SCHEDULE 80</t>
  </si>
  <si>
    <t>2½</t>
  </si>
  <si>
    <t>M511800307</t>
  </si>
  <si>
    <t>SDR-13.5</t>
  </si>
  <si>
    <t>M511130301</t>
  </si>
  <si>
    <t>M511130501</t>
  </si>
  <si>
    <t>M511800507</t>
  </si>
  <si>
    <t>SCHEDULE 40</t>
  </si>
  <si>
    <t>M511400307</t>
  </si>
  <si>
    <t>M511400507</t>
  </si>
  <si>
    <t>CPVC PRO PIPE</t>
  </si>
  <si>
    <t>CTS SDR 09</t>
  </si>
  <si>
    <t>M511090302</t>
  </si>
  <si>
    <t>M511090502</t>
  </si>
  <si>
    <t>FITTINGS</t>
  </si>
  <si>
    <t>COUPLER-SOC</t>
  </si>
  <si>
    <t>COUPLER</t>
  </si>
  <si>
    <t>N/A</t>
  </si>
  <si>
    <t>M512111001</t>
  </si>
  <si>
    <t>END CAP-SOC</t>
  </si>
  <si>
    <t>END CAP</t>
  </si>
  <si>
    <t>M512114101</t>
  </si>
  <si>
    <t>https://cdn.moglix.com/p/gO03E6KcojxEa-xxlarge.jpg</t>
  </si>
  <si>
    <t>ELBOW 45°-SOC</t>
  </si>
  <si>
    <t>ELBOW</t>
  </si>
  <si>
    <t>M512112301</t>
  </si>
  <si>
    <t>https://cdn.moglix.com/p/sNpxkTRSp50j7-xxlarge.jpg</t>
  </si>
  <si>
    <t>TEE-SOC</t>
  </si>
  <si>
    <t>TEE</t>
  </si>
  <si>
    <t>M512110101</t>
  </si>
  <si>
    <t>https://encrypted-tbn0.gstatic.com/images?q=tbn:ANd9GcQHag-0rjLbfvbcka704hG6fhI1h_7vaJ7VcMWVE6VXtZrjIQs6jkroLG4B&amp;s=10</t>
  </si>
  <si>
    <t>FEMALE ADAPTOR</t>
  </si>
  <si>
    <t>ADAPTOR</t>
  </si>
  <si>
    <t>M512111601</t>
  </si>
  <si>
    <t>CROSS-SOC</t>
  </si>
  <si>
    <t>CROSS</t>
  </si>
  <si>
    <t>M512112401</t>
  </si>
  <si>
    <t>STEP OVER BEND</t>
  </si>
  <si>
    <t>BEND</t>
  </si>
  <si>
    <t>M512112801</t>
  </si>
  <si>
    <t>https://encrypted-tbn0.gstatic.com/images?q=tbn:ANd9GcTjyeiZWuc3YbpamBT_RTyJ6FHX_SnC6WKiljBcAi2V6KCc0txE5Rf0G-A&amp;s=10</t>
  </si>
  <si>
    <t>M512111701</t>
  </si>
  <si>
    <t>https://encrypted-tbn0.gstatic.com/images?q=tbn:ANd9GcRZSdvm9tz4cIwuqNEvw8ZikUKABPH73oRvlFYHcOC7N3IiZdle4uFEERA&amp;s=10</t>
  </si>
  <si>
    <t>ELBOW 90° -SOC</t>
  </si>
  <si>
    <t>M512110501</t>
  </si>
  <si>
    <t>MALE ADAPTOR</t>
  </si>
  <si>
    <t>M512111301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</si>
</sst>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3" numFmtId="9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mages.jdmagicbox.com/quickquotes/images_main/astral-cpvc-pipe-2229719442-6b9d0pqz.jpg" TargetMode="External"/><Relationship Id="rId10" Type="http://schemas.openxmlformats.org/officeDocument/2006/relationships/hyperlink" Target="https://images.jdmagicbox.com/quickquotes/images_main/astral-cpvc-pipe-2229719442-6b9d0pqz.jpg" TargetMode="External"/><Relationship Id="rId13" Type="http://schemas.openxmlformats.org/officeDocument/2006/relationships/hyperlink" Target="https://cdn.moglix.com/p/sNpxkTRSp50j7-xxlarge.jpg" TargetMode="External"/><Relationship Id="rId12" Type="http://schemas.openxmlformats.org/officeDocument/2006/relationships/hyperlink" Target="https://cdn.moglix.com/p/gO03E6KcojxEa-xxlarge.jpg" TargetMode="External"/><Relationship Id="rId1" Type="http://schemas.openxmlformats.org/officeDocument/2006/relationships/hyperlink" Target="https://images.jdmagicbox.com/quickquotes/images_main/astral-cpvc-pipe-2229719442-6b9d0pqz.jpg" TargetMode="External"/><Relationship Id="rId2" Type="http://schemas.openxmlformats.org/officeDocument/2006/relationships/hyperlink" Target="https://images.jdmagicbox.com/quickquotes/images_main/astral-cpvc-pipe-2229719442-6b9d0pqz.jpg" TargetMode="External"/><Relationship Id="rId3" Type="http://schemas.openxmlformats.org/officeDocument/2006/relationships/hyperlink" Target="https://images.jdmagicbox.com/quickquotes/images_main/astral-cpvc-pipe-2229719442-6b9d0pqz.jpg" TargetMode="External"/><Relationship Id="rId4" Type="http://schemas.openxmlformats.org/officeDocument/2006/relationships/hyperlink" Target="https://images.jdmagicbox.com/quickquotes/images_main/astral-cpvc-pipe-2229719442-6b9d0pqz.jpg" TargetMode="External"/><Relationship Id="rId9" Type="http://schemas.openxmlformats.org/officeDocument/2006/relationships/hyperlink" Target="https://images.jdmagicbox.com/quickquotes/images_main/astral-cpvc-pipe-2229719442-6b9d0pqz.jpg" TargetMode="External"/><Relationship Id="rId15" Type="http://schemas.openxmlformats.org/officeDocument/2006/relationships/hyperlink" Target="https://encrypted-tbn0.gstatic.com/images?q=tbn:ANd9GcTjyeiZWuc3YbpamBT_RTyJ6FHX_SnC6WKiljBcAi2V6KCc0txE5Rf0G-A&amp;s=10" TargetMode="External"/><Relationship Id="rId14" Type="http://schemas.openxmlformats.org/officeDocument/2006/relationships/hyperlink" Target="https://encrypted-tbn0.gstatic.com/images?q=tbn:ANd9GcQHag-0rjLbfvbcka704hG6fhI1h_7vaJ7VcMWVE6VXtZrjIQs6jkroLG4B&amp;s=10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encrypted-tbn0.gstatic.com/images?q=tbn:ANd9GcRZSdvm9tz4cIwuqNEvw8ZikUKABPH73oRvlFYHcOC7N3IiZdle4uFEERA&amp;s=10" TargetMode="External"/><Relationship Id="rId5" Type="http://schemas.openxmlformats.org/officeDocument/2006/relationships/hyperlink" Target="https://images.jdmagicbox.com/quickquotes/images_main/astral-cpvc-pipe-2229719442-6b9d0pqz.jpg" TargetMode="External"/><Relationship Id="rId6" Type="http://schemas.openxmlformats.org/officeDocument/2006/relationships/hyperlink" Target="https://images.jdmagicbox.com/quickquotes/images_main/astral-cpvc-pipe-2229719442-6b9d0pqz.jpg" TargetMode="External"/><Relationship Id="rId7" Type="http://schemas.openxmlformats.org/officeDocument/2006/relationships/hyperlink" Target="https://images.jdmagicbox.com/quickquotes/images_main/astral-cpvc-pipe-2229719442-6b9d0pqz.jpg" TargetMode="External"/><Relationship Id="rId8" Type="http://schemas.openxmlformats.org/officeDocument/2006/relationships/hyperlink" Target="https://images.jdmagicbox.com/quickquotes/images_main/astral-cpvc-pipe-2229719442-6b9d0pqz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75"/>
    <col customWidth="1" min="4" max="4" width="22.75"/>
    <col customWidth="1" min="11" max="11" width="1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</row>
    <row r="2">
      <c r="A2" s="1" t="s">
        <v>14</v>
      </c>
      <c r="B2" s="1" t="s">
        <v>15</v>
      </c>
      <c r="C2" s="4" t="s">
        <v>16</v>
      </c>
      <c r="D2" s="1" t="s">
        <v>17</v>
      </c>
      <c r="E2" s="1" t="s">
        <v>18</v>
      </c>
      <c r="F2" s="1" t="s">
        <v>19</v>
      </c>
      <c r="G2" s="1">
        <v>1.5</v>
      </c>
      <c r="H2" s="5">
        <v>46024.0</v>
      </c>
      <c r="I2" s="1" t="s">
        <v>20</v>
      </c>
      <c r="J2" s="1">
        <v>100.0</v>
      </c>
      <c r="K2" s="1">
        <v>336.0</v>
      </c>
      <c r="L2" s="6">
        <v>0.25</v>
      </c>
      <c r="M2" s="7">
        <f t="shared" ref="M2:M21" si="1">IF(ISBLANK(L2), K2, K2*(1-L2))</f>
        <v>252</v>
      </c>
      <c r="N2" s="8" t="s">
        <v>21</v>
      </c>
    </row>
    <row r="3">
      <c r="A3" s="1" t="s">
        <v>14</v>
      </c>
      <c r="B3" s="1" t="s">
        <v>15</v>
      </c>
      <c r="C3" s="4" t="s">
        <v>16</v>
      </c>
      <c r="D3" s="1" t="s">
        <v>17</v>
      </c>
      <c r="E3" s="1" t="s">
        <v>18</v>
      </c>
      <c r="F3" s="1" t="s">
        <v>22</v>
      </c>
      <c r="G3" s="1">
        <v>1.5</v>
      </c>
      <c r="H3" s="5">
        <v>46024.0</v>
      </c>
      <c r="I3" s="1" t="s">
        <v>23</v>
      </c>
      <c r="J3" s="1">
        <v>60.0</v>
      </c>
      <c r="K3" s="1">
        <v>560.0</v>
      </c>
      <c r="L3" s="6">
        <v>0.2</v>
      </c>
      <c r="M3" s="7">
        <f t="shared" si="1"/>
        <v>448</v>
      </c>
      <c r="N3" s="8" t="s">
        <v>21</v>
      </c>
    </row>
    <row r="4">
      <c r="A4" s="1" t="s">
        <v>14</v>
      </c>
      <c r="B4" s="1" t="s">
        <v>15</v>
      </c>
      <c r="C4" s="4" t="s">
        <v>16</v>
      </c>
      <c r="D4" s="1" t="s">
        <v>17</v>
      </c>
      <c r="E4" s="1" t="s">
        <v>24</v>
      </c>
      <c r="F4" s="1" t="s">
        <v>19</v>
      </c>
      <c r="G4" s="1">
        <v>6.5</v>
      </c>
      <c r="H4" s="1" t="s">
        <v>25</v>
      </c>
      <c r="I4" s="1" t="s">
        <v>26</v>
      </c>
      <c r="J4" s="1">
        <v>5.0</v>
      </c>
      <c r="K4" s="9">
        <v>6666.0</v>
      </c>
      <c r="L4" s="6">
        <v>0.16</v>
      </c>
      <c r="M4" s="7">
        <f t="shared" si="1"/>
        <v>5599.44</v>
      </c>
      <c r="N4" s="8" t="s">
        <v>21</v>
      </c>
    </row>
    <row r="5">
      <c r="A5" s="1" t="s">
        <v>14</v>
      </c>
      <c r="B5" s="1" t="s">
        <v>15</v>
      </c>
      <c r="C5" s="4" t="s">
        <v>16</v>
      </c>
      <c r="D5" s="1" t="s">
        <v>17</v>
      </c>
      <c r="E5" s="1" t="s">
        <v>27</v>
      </c>
      <c r="F5" s="1" t="s">
        <v>19</v>
      </c>
      <c r="G5" s="1">
        <v>1.5</v>
      </c>
      <c r="H5" s="5">
        <v>46024.0</v>
      </c>
      <c r="I5" s="1" t="s">
        <v>28</v>
      </c>
      <c r="J5" s="1">
        <v>100.0</v>
      </c>
      <c r="K5" s="1">
        <v>294.0</v>
      </c>
      <c r="L5" s="6">
        <v>0.09</v>
      </c>
      <c r="M5" s="7">
        <f t="shared" si="1"/>
        <v>267.54</v>
      </c>
      <c r="N5" s="8" t="s">
        <v>21</v>
      </c>
    </row>
    <row r="6">
      <c r="A6" s="1" t="s">
        <v>14</v>
      </c>
      <c r="B6" s="1" t="s">
        <v>15</v>
      </c>
      <c r="C6" s="4" t="s">
        <v>16</v>
      </c>
      <c r="D6" s="1" t="s">
        <v>17</v>
      </c>
      <c r="E6" s="1" t="s">
        <v>27</v>
      </c>
      <c r="F6" s="1" t="s">
        <v>22</v>
      </c>
      <c r="G6" s="1">
        <v>1.5</v>
      </c>
      <c r="H6" s="5">
        <v>46024.0</v>
      </c>
      <c r="I6" s="1" t="s">
        <v>29</v>
      </c>
      <c r="J6" s="1">
        <v>60.0</v>
      </c>
      <c r="K6" s="1">
        <v>490.0</v>
      </c>
      <c r="L6" s="6">
        <v>0.12</v>
      </c>
      <c r="M6" s="7">
        <f t="shared" si="1"/>
        <v>431.2</v>
      </c>
      <c r="N6" s="8" t="s">
        <v>21</v>
      </c>
    </row>
    <row r="7">
      <c r="A7" s="1" t="s">
        <v>14</v>
      </c>
      <c r="B7" s="1" t="s">
        <v>15</v>
      </c>
      <c r="C7" s="4" t="s">
        <v>16</v>
      </c>
      <c r="D7" s="1" t="s">
        <v>17</v>
      </c>
      <c r="E7" s="1" t="s">
        <v>24</v>
      </c>
      <c r="F7" s="1" t="s">
        <v>22</v>
      </c>
      <c r="G7" s="1">
        <v>6.5</v>
      </c>
      <c r="H7" s="1" t="s">
        <v>25</v>
      </c>
      <c r="I7" s="1" t="s">
        <v>30</v>
      </c>
      <c r="J7" s="1">
        <v>5.0</v>
      </c>
      <c r="K7" s="9">
        <v>11110.0</v>
      </c>
      <c r="L7" s="6">
        <v>0.09</v>
      </c>
      <c r="M7" s="7">
        <f t="shared" si="1"/>
        <v>10110.1</v>
      </c>
      <c r="N7" s="8" t="s">
        <v>21</v>
      </c>
    </row>
    <row r="8">
      <c r="A8" s="1" t="s">
        <v>14</v>
      </c>
      <c r="B8" s="1" t="s">
        <v>15</v>
      </c>
      <c r="C8" s="4" t="s">
        <v>16</v>
      </c>
      <c r="D8" s="1" t="s">
        <v>17</v>
      </c>
      <c r="E8" s="1" t="s">
        <v>31</v>
      </c>
      <c r="F8" s="1" t="s">
        <v>19</v>
      </c>
      <c r="G8" s="1">
        <v>6.5</v>
      </c>
      <c r="H8" s="1">
        <v>2.0</v>
      </c>
      <c r="I8" s="1" t="s">
        <v>32</v>
      </c>
      <c r="J8" s="1">
        <v>5.0</v>
      </c>
      <c r="K8" s="9">
        <v>4875.0</v>
      </c>
      <c r="L8" s="6">
        <v>0.07</v>
      </c>
      <c r="M8" s="7">
        <f t="shared" si="1"/>
        <v>4533.75</v>
      </c>
      <c r="N8" s="8" t="s">
        <v>21</v>
      </c>
    </row>
    <row r="9">
      <c r="A9" s="1" t="s">
        <v>14</v>
      </c>
      <c r="B9" s="1" t="s">
        <v>15</v>
      </c>
      <c r="C9" s="4" t="s">
        <v>16</v>
      </c>
      <c r="D9" s="1" t="s">
        <v>17</v>
      </c>
      <c r="E9" s="1" t="s">
        <v>31</v>
      </c>
      <c r="F9" s="1" t="s">
        <v>22</v>
      </c>
      <c r="G9" s="1">
        <v>6.5</v>
      </c>
      <c r="H9" s="1">
        <v>2.0</v>
      </c>
      <c r="I9" s="1" t="s">
        <v>33</v>
      </c>
      <c r="J9" s="1">
        <v>5.0</v>
      </c>
      <c r="K9" s="9">
        <v>8125.0</v>
      </c>
      <c r="L9" s="6">
        <v>0.05</v>
      </c>
      <c r="M9" s="7">
        <f t="shared" si="1"/>
        <v>7718.75</v>
      </c>
      <c r="N9" s="8" t="s">
        <v>21</v>
      </c>
    </row>
    <row r="10">
      <c r="A10" s="1" t="s">
        <v>14</v>
      </c>
      <c r="B10" s="1" t="s">
        <v>15</v>
      </c>
      <c r="C10" s="4" t="s">
        <v>16</v>
      </c>
      <c r="D10" s="1" t="s">
        <v>34</v>
      </c>
      <c r="E10" s="1" t="s">
        <v>35</v>
      </c>
      <c r="F10" s="1" t="s">
        <v>19</v>
      </c>
      <c r="G10" s="1">
        <v>2.0</v>
      </c>
      <c r="H10" s="5">
        <v>46085.0</v>
      </c>
      <c r="I10" s="1" t="s">
        <v>36</v>
      </c>
      <c r="J10" s="1">
        <v>50.0</v>
      </c>
      <c r="K10" s="1">
        <v>581.0</v>
      </c>
      <c r="L10" s="6">
        <v>0.25</v>
      </c>
      <c r="M10" s="7">
        <f t="shared" si="1"/>
        <v>435.75</v>
      </c>
      <c r="N10" s="8" t="s">
        <v>21</v>
      </c>
    </row>
    <row r="11">
      <c r="A11" s="1" t="s">
        <v>14</v>
      </c>
      <c r="B11" s="1" t="s">
        <v>15</v>
      </c>
      <c r="C11" s="4" t="s">
        <v>16</v>
      </c>
      <c r="D11" s="1" t="s">
        <v>34</v>
      </c>
      <c r="E11" s="1" t="s">
        <v>35</v>
      </c>
      <c r="F11" s="1" t="s">
        <v>22</v>
      </c>
      <c r="G11" s="1">
        <v>2.0</v>
      </c>
      <c r="H11" s="5">
        <v>46085.0</v>
      </c>
      <c r="I11" s="1" t="s">
        <v>37</v>
      </c>
      <c r="J11" s="1">
        <v>40.0</v>
      </c>
      <c r="K11" s="1">
        <v>969.0</v>
      </c>
      <c r="L11" s="6">
        <v>0.24</v>
      </c>
      <c r="M11" s="7">
        <f t="shared" si="1"/>
        <v>736.44</v>
      </c>
      <c r="N11" s="8" t="s">
        <v>21</v>
      </c>
    </row>
    <row r="12">
      <c r="A12" s="1" t="s">
        <v>38</v>
      </c>
      <c r="B12" s="1" t="s">
        <v>15</v>
      </c>
      <c r="C12" s="4" t="s">
        <v>16</v>
      </c>
      <c r="D12" s="1" t="s">
        <v>39</v>
      </c>
      <c r="E12" s="1" t="s">
        <v>40</v>
      </c>
      <c r="F12" s="1" t="s">
        <v>41</v>
      </c>
      <c r="G12" s="1">
        <v>1.5</v>
      </c>
      <c r="H12" s="5">
        <v>46024.0</v>
      </c>
      <c r="I12" s="1" t="s">
        <v>42</v>
      </c>
      <c r="J12" s="1">
        <v>100.0</v>
      </c>
      <c r="K12" s="1">
        <v>19.5</v>
      </c>
      <c r="L12" s="6">
        <v>0.24</v>
      </c>
      <c r="M12" s="7">
        <f t="shared" si="1"/>
        <v>14.82</v>
      </c>
      <c r="N12" s="8" t="s">
        <v>21</v>
      </c>
    </row>
    <row r="13">
      <c r="A13" s="1" t="s">
        <v>38</v>
      </c>
      <c r="B13" s="1" t="s">
        <v>15</v>
      </c>
      <c r="C13" s="4" t="s">
        <v>16</v>
      </c>
      <c r="D13" s="1" t="s">
        <v>43</v>
      </c>
      <c r="E13" s="1" t="s">
        <v>44</v>
      </c>
      <c r="F13" s="1" t="s">
        <v>41</v>
      </c>
      <c r="G13" s="1">
        <v>1.5</v>
      </c>
      <c r="H13" s="5">
        <v>46024.0</v>
      </c>
      <c r="I13" s="1" t="s">
        <v>45</v>
      </c>
      <c r="J13" s="1">
        <v>100.0</v>
      </c>
      <c r="K13" s="1">
        <v>16.0</v>
      </c>
      <c r="L13" s="6">
        <v>0.14</v>
      </c>
      <c r="M13" s="7">
        <f t="shared" si="1"/>
        <v>13.76</v>
      </c>
      <c r="N13" s="8" t="s">
        <v>46</v>
      </c>
    </row>
    <row r="14">
      <c r="A14" s="1" t="s">
        <v>38</v>
      </c>
      <c r="B14" s="1" t="s">
        <v>15</v>
      </c>
      <c r="C14" s="4" t="s">
        <v>16</v>
      </c>
      <c r="D14" s="1" t="s">
        <v>47</v>
      </c>
      <c r="E14" s="1" t="s">
        <v>48</v>
      </c>
      <c r="F14" s="1" t="s">
        <v>41</v>
      </c>
      <c r="G14" s="1">
        <v>1.5</v>
      </c>
      <c r="H14" s="5">
        <v>46024.0</v>
      </c>
      <c r="I14" s="1" t="s">
        <v>49</v>
      </c>
      <c r="J14" s="1">
        <v>100.0</v>
      </c>
      <c r="K14" s="1">
        <v>27.0</v>
      </c>
      <c r="L14" s="6">
        <v>0.07</v>
      </c>
      <c r="M14" s="7">
        <f t="shared" si="1"/>
        <v>25.11</v>
      </c>
      <c r="N14" s="8" t="s">
        <v>50</v>
      </c>
    </row>
    <row r="15">
      <c r="A15" s="1" t="s">
        <v>38</v>
      </c>
      <c r="B15" s="1" t="s">
        <v>15</v>
      </c>
      <c r="C15" s="4" t="s">
        <v>16</v>
      </c>
      <c r="D15" s="1" t="s">
        <v>51</v>
      </c>
      <c r="E15" s="1" t="s">
        <v>52</v>
      </c>
      <c r="F15" s="1" t="s">
        <v>41</v>
      </c>
      <c r="G15" s="1">
        <v>1.5</v>
      </c>
      <c r="H15" s="5">
        <v>46024.0</v>
      </c>
      <c r="I15" s="1" t="s">
        <v>53</v>
      </c>
      <c r="J15" s="1">
        <v>100.0</v>
      </c>
      <c r="K15" s="1">
        <v>32.5</v>
      </c>
      <c r="L15" s="6">
        <v>0.16</v>
      </c>
      <c r="M15" s="7">
        <f t="shared" si="1"/>
        <v>27.3</v>
      </c>
      <c r="N15" s="8" t="s">
        <v>54</v>
      </c>
    </row>
    <row r="16">
      <c r="A16" s="1" t="s">
        <v>38</v>
      </c>
      <c r="B16" s="1" t="s">
        <v>15</v>
      </c>
      <c r="C16" s="4" t="s">
        <v>16</v>
      </c>
      <c r="D16" s="1" t="s">
        <v>55</v>
      </c>
      <c r="E16" s="1" t="s">
        <v>56</v>
      </c>
      <c r="F16" s="1" t="s">
        <v>41</v>
      </c>
      <c r="G16" s="1">
        <v>1.5</v>
      </c>
      <c r="H16" s="5">
        <v>46024.0</v>
      </c>
      <c r="I16" s="1" t="s">
        <v>57</v>
      </c>
      <c r="J16" s="1">
        <v>100.0</v>
      </c>
      <c r="K16" s="1">
        <v>29.5</v>
      </c>
      <c r="L16" s="6">
        <v>0.24</v>
      </c>
      <c r="M16" s="7">
        <f t="shared" si="1"/>
        <v>22.42</v>
      </c>
      <c r="N16" s="3"/>
    </row>
    <row r="17">
      <c r="A17" s="1" t="s">
        <v>38</v>
      </c>
      <c r="B17" s="1" t="s">
        <v>15</v>
      </c>
      <c r="C17" s="4" t="s">
        <v>16</v>
      </c>
      <c r="D17" s="1" t="s">
        <v>58</v>
      </c>
      <c r="E17" s="1" t="s">
        <v>59</v>
      </c>
      <c r="F17" s="1" t="s">
        <v>41</v>
      </c>
      <c r="G17" s="1">
        <v>1.5</v>
      </c>
      <c r="H17" s="5">
        <v>46024.0</v>
      </c>
      <c r="I17" s="1" t="s">
        <v>60</v>
      </c>
      <c r="J17" s="1">
        <v>100.0</v>
      </c>
      <c r="K17" s="1">
        <v>44.5</v>
      </c>
      <c r="L17" s="6">
        <v>0.07</v>
      </c>
      <c r="M17" s="7">
        <f t="shared" si="1"/>
        <v>41.385</v>
      </c>
      <c r="N17" s="3"/>
    </row>
    <row r="18">
      <c r="A18" s="1" t="s">
        <v>38</v>
      </c>
      <c r="B18" s="1" t="s">
        <v>15</v>
      </c>
      <c r="C18" s="4" t="s">
        <v>16</v>
      </c>
      <c r="D18" s="1" t="s">
        <v>61</v>
      </c>
      <c r="E18" s="1" t="s">
        <v>62</v>
      </c>
      <c r="F18" s="1" t="s">
        <v>41</v>
      </c>
      <c r="G18" s="1">
        <v>1.5</v>
      </c>
      <c r="H18" s="5">
        <v>46024.0</v>
      </c>
      <c r="I18" s="1" t="s">
        <v>63</v>
      </c>
      <c r="J18" s="1">
        <v>10.0</v>
      </c>
      <c r="K18" s="1">
        <v>89.0</v>
      </c>
      <c r="L18" s="6">
        <v>0.15</v>
      </c>
      <c r="M18" s="7">
        <f t="shared" si="1"/>
        <v>75.65</v>
      </c>
      <c r="N18" s="8" t="s">
        <v>64</v>
      </c>
    </row>
    <row r="19">
      <c r="A19" s="1" t="s">
        <v>38</v>
      </c>
      <c r="B19" s="1" t="s">
        <v>15</v>
      </c>
      <c r="C19" s="4" t="s">
        <v>16</v>
      </c>
      <c r="D19" s="1" t="s">
        <v>55</v>
      </c>
      <c r="E19" s="1" t="s">
        <v>56</v>
      </c>
      <c r="F19" s="1" t="s">
        <v>41</v>
      </c>
      <c r="G19" s="1">
        <v>1.5</v>
      </c>
      <c r="H19" s="5">
        <v>46024.0</v>
      </c>
      <c r="I19" s="1" t="s">
        <v>65</v>
      </c>
      <c r="J19" s="1">
        <v>50.0</v>
      </c>
      <c r="K19" s="1">
        <v>234.0</v>
      </c>
      <c r="L19" s="6">
        <v>0.1</v>
      </c>
      <c r="M19" s="7">
        <f t="shared" si="1"/>
        <v>210.6</v>
      </c>
      <c r="N19" s="8" t="s">
        <v>66</v>
      </c>
    </row>
    <row r="20">
      <c r="A20" s="1" t="s">
        <v>38</v>
      </c>
      <c r="B20" s="1" t="s">
        <v>15</v>
      </c>
      <c r="C20" s="4" t="s">
        <v>16</v>
      </c>
      <c r="D20" s="1" t="s">
        <v>67</v>
      </c>
      <c r="E20" s="1" t="s">
        <v>48</v>
      </c>
      <c r="F20" s="1" t="s">
        <v>41</v>
      </c>
      <c r="G20" s="1">
        <v>1.5</v>
      </c>
      <c r="H20" s="5">
        <v>46024.0</v>
      </c>
      <c r="I20" s="1" t="s">
        <v>68</v>
      </c>
      <c r="J20" s="1">
        <v>100.0</v>
      </c>
      <c r="K20" s="1">
        <v>24.0</v>
      </c>
      <c r="L20" s="6">
        <v>0.09</v>
      </c>
      <c r="M20" s="7">
        <f t="shared" si="1"/>
        <v>21.84</v>
      </c>
      <c r="N20" s="3"/>
    </row>
    <row r="21">
      <c r="A21" s="1" t="s">
        <v>38</v>
      </c>
      <c r="B21" s="1" t="s">
        <v>15</v>
      </c>
      <c r="C21" s="4" t="s">
        <v>16</v>
      </c>
      <c r="D21" s="1" t="s">
        <v>69</v>
      </c>
      <c r="E21" s="1" t="s">
        <v>56</v>
      </c>
      <c r="F21" s="1" t="s">
        <v>41</v>
      </c>
      <c r="G21" s="1">
        <v>1.5</v>
      </c>
      <c r="H21" s="5">
        <v>46024.0</v>
      </c>
      <c r="I21" s="1" t="s">
        <v>70</v>
      </c>
      <c r="J21" s="1">
        <v>100.0</v>
      </c>
      <c r="K21" s="1">
        <v>23.0</v>
      </c>
      <c r="L21" s="3"/>
      <c r="M21" s="7">
        <f t="shared" si="1"/>
        <v>23</v>
      </c>
      <c r="N21" s="3"/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8"/>
    <hyperlink r:id="rId16" ref="N19"/>
  </hyperlinks>
  <drawing r:id="rId17"/>
</worksheet>
</file>